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flash\Documents\StudentsStatements2023_2024\"/>
    </mc:Choice>
  </mc:AlternateContent>
  <bookViews>
    <workbookView xWindow="0" yWindow="0" windowWidth="28800" windowHeight="11400"/>
  </bookViews>
  <sheets>
    <sheet name="Ответы на форму (1)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2" i="1"/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2" i="1"/>
  <c r="AR3" i="1"/>
  <c r="AR13" i="1"/>
  <c r="AR6" i="1"/>
  <c r="AR11" i="1"/>
  <c r="AR14" i="1"/>
  <c r="AR7" i="1"/>
  <c r="AR8" i="1"/>
  <c r="AR10" i="1"/>
  <c r="AR9" i="1"/>
  <c r="AR4" i="1"/>
  <c r="AR15" i="1"/>
  <c r="AR12" i="1"/>
  <c r="AR2" i="1"/>
  <c r="AR5" i="1"/>
</calcChain>
</file>

<file path=xl/sharedStrings.xml><?xml version="1.0" encoding="utf-8"?>
<sst xmlns="http://schemas.openxmlformats.org/spreadsheetml/2006/main" count="449" uniqueCount="214">
  <si>
    <t>Дан следующий набор элементов: "{", "}", "Л.В.", "else", "(", ")", "[Группа операторов 1];", "[Группа операторов 2];", "{", "}", "if".
Запишите из них синтаксически корректную конструкцию.
Внимание: НЕ используйте пробелы между элементами. Пробелы внутри элементов сохраните.</t>
  </si>
  <si>
    <t>Содержимое блока истинного решения / результата в условном операторе выполняется после получения значения логического выражения, равного ... . 
Запишите ответ латиницей.</t>
  </si>
  <si>
    <t>Содержимое блока ложного решения / результата выполняется в условном операторе после получения значения логического выражения, равного ... .
Запишите ответ латиницей.</t>
  </si>
  <si>
    <t>Какие служебные символы входят в состав тернарного оператора? 
Ответ запишите через запятую-пробел (", ") в порядке упоминания этих символов в операторе.</t>
  </si>
  <si>
    <t>Какой результат увидит пользователь в консоли по итогам исполнения представленного фрагмента кода?
При ответе считать, что ни одно из вещественных значений не искажается (что присвоено на "входе", то и на "выходе").</t>
  </si>
  <si>
    <t>Запишите код, соответствующий фрагменту блок-схемы алгоритма.
Тернарный оператор не принимается в качестве правильного ответа на поставленный вопрос.</t>
  </si>
  <si>
    <t>Запишите соответствующий код с использованием тернарного оператора.</t>
  </si>
  <si>
    <t>Запишите код, соответствующий фрагменту блок-схемы алгоритма, избегая необходимости записи пустых групп операторов.</t>
  </si>
  <si>
    <t>Какой результат увидит пользователь в консоли по итогам исполнения представленного фрагмента кода?
При ответе считать, что ни одно из вещественных значений не искажается (что присвоено на "входе", то и на "выходе").
Десятичный разделитель - "точка".</t>
  </si>
  <si>
    <t>Запишите кириллицей наименование блока, который ставится в соответствие условному оператору на схеме алгоритма.
Форма блока не является правильным ответом на поставленный вопрос.</t>
  </si>
  <si>
    <t>Какое количество "входных" связей требуется для обозначения условного оператора на блок-схеме алгоритма?</t>
  </si>
  <si>
    <t>Какое количество "выходных" связей требуется для обозначения условного оператора на блок-схеме алгоритма?</t>
  </si>
  <si>
    <t>Дополните высказывание: "Истина логического выражения при объединении операндов логическим умножением достигается, когда ... операнд истинен (операнды истинны)".
Правильный ответ состоит из одного слова. Среди вариаций правильных ответов имеются те, которые подходят либо к словосочетанию, указанному в скобках, либо к словосочетанию, вынесенному за скобки.</t>
  </si>
  <si>
    <t>Дополните высказывание: "Истина логического выражения при объединении операндов логическим сложением достигается, когда ... операнд истинен (операнды истинны)".
Правильный ответ состоит из трёх слов, разделённых пробелами. При этом только одно словосочетание: либо указанное в скобках, либо вынесенное за скобки является подходящим.</t>
  </si>
  <si>
    <t>Дополните высказывание: "Ложь логического выражения при объединении операндов логическим умножением достигается, когда ... операнд ложен (операнды ложны)".
Правильный ответ состоит из трёх слов, разделённых пробелами. При этом только одно словосочетание: либо указанное в скобках, либо вынесенное за скобки является подходящим.</t>
  </si>
  <si>
    <t>Дополните высказывание: "Ложь логического выражения при объединении операндов логическим сложением достигается, когда ... операнд ложен (операнды ложны)".
Правильный ответ состоит из одного слова. Среди вариаций правильных ответов имеются те, которые подходят либо к словосочетанию, указанному в скобках, либо к словосочетанию, вынесенному за скобки.</t>
  </si>
  <si>
    <t>Дополните высказывание: "При отсутствии операций в блоке истинного решения условного оператора и при наличии действий в блоке ложного результата необходимо применять ... логику в качестве логического выражения".</t>
  </si>
  <si>
    <t>Дополните высказывание: "Выражение называется логическим, если в нём есть ... логический оператор".</t>
  </si>
  <si>
    <t>Определите тип выражения по его виду: "a + b".
Подсказка: это исключительно математический вопрос; в качестве ответа НЕ нужен результат и НЕ нужен тип данных из области программирования.</t>
  </si>
  <si>
    <t>Определите тип выражения по его виду: "a - 4".
Подсказка: это исключительно математический вопрос; в качестве ответа НЕ нужен результат и НЕ нужен тип данных из области программирования.</t>
  </si>
  <si>
    <t>Определите тип выражения по его виду: "2.5 * 2".
Подсказка: это исключительно математический вопрос; в качестве ответа НЕ нужен результат и НЕ нужен тип данных из области программирования.</t>
  </si>
  <si>
    <t>Определите тип выражения по его виду: "a - 4 &gt;= b / 3".
Подсказка: это исключительно математический вопрос; в качестве ответа НЕ нужен результат и НЕ нужен тип данных из области программирования.</t>
  </si>
  <si>
    <t>Определите тип выражения по его виду: "a - с == с + d".
Подсказка: это исключительно математический вопрос; в качестве ответа НЕ нужен результат и НЕ нужен тип данных из области программирования.</t>
  </si>
  <si>
    <t>Определите тип выражения по его виду: "5 - 2 &lt;= -2 + 5".
Подсказка: это исключительно математический вопрос; в качестве ответа НЕ нужен результат и НЕ нужен тип данных из области программирования.</t>
  </si>
  <si>
    <t>Определите тип выражения по его виду: "1 == 2".
Подсказка: это исключительно математический вопрос; в качестве ответа НЕ нужен результат и НЕ нужен тип данных из области программирования.</t>
  </si>
  <si>
    <t>Дополните высказывание: "Выражение 'x + y &gt;= z' записано в ... логике".</t>
  </si>
  <si>
    <t>Дополните высказывание: "Выражение 'x + y != z' записано в ... логике".</t>
  </si>
  <si>
    <t>Дополните высказывание: "Выражение '!(x + y &lt;= z)' записано в ... логике".</t>
  </si>
  <si>
    <t>?, :</t>
  </si>
  <si>
    <t>0, 3</t>
  </si>
  <si>
    <t>if (k + b &lt;= a) y = a; else y = k + b;</t>
  </si>
  <si>
    <t>y = k + b &lt;= a ? a : k + b;</t>
  </si>
  <si>
    <t>0, 0</t>
  </si>
  <si>
    <t>7, -3, 1, 0.5</t>
  </si>
  <si>
    <t>5, 4, -2, 3</t>
  </si>
  <si>
    <t>решение</t>
  </si>
  <si>
    <t>хотя бы один</t>
  </si>
  <si>
    <t>ТУУ-111</t>
  </si>
  <si>
    <t>7, -3, 1, 0,5</t>
  </si>
  <si>
    <t>else</t>
  </si>
  <si>
    <t>условие</t>
  </si>
  <si>
    <t>каждый</t>
  </si>
  <si>
    <t>Решение</t>
  </si>
  <si>
    <t>Один</t>
  </si>
  <si>
    <t>один</t>
  </si>
  <si>
    <t>if(Л.В.){[Группа операторов 1];}else{[Группа операторов 2];}</t>
  </si>
  <si>
    <t>if(m==n){Console.WriteLine("Совпали");}</t>
  </si>
  <si>
    <t xml:space="preserve">решение </t>
  </si>
  <si>
    <t xml:space="preserve">Одна </t>
  </si>
  <si>
    <t xml:space="preserve">Каждый </t>
  </si>
  <si>
    <t>?, :, ;</t>
  </si>
  <si>
    <t>?, ;</t>
  </si>
  <si>
    <t>if (k + b &lt;= a) { y = a; } else { y = k + b; }</t>
  </si>
  <si>
    <t>if (m == n) { Console.WriteLine("Совпали"); }</t>
  </si>
  <si>
    <t>?,;</t>
  </si>
  <si>
    <t>djdj.9200@bk.ru</t>
  </si>
  <si>
    <t xml:space="preserve">Аверкиев Дмитрий Евгеньевич </t>
  </si>
  <si>
    <t xml:space="preserve">ТУУ-111 </t>
  </si>
  <si>
    <t>if (условие) {   Группа операторов 1; } else {   Группа операторов 2; }</t>
  </si>
  <si>
    <t>"?", ":", "".</t>
  </si>
  <si>
    <t>if(m==n=false) (Console.WriteLine("Не совпали"):)</t>
  </si>
  <si>
    <t xml:space="preserve">Результат выполнения </t>
  </si>
  <si>
    <t>Две "выходные связи"</t>
  </si>
  <si>
    <t xml:space="preserve">Оба операнда истины </t>
  </si>
  <si>
    <t>Истина логического выражения при объединении операндов логическим сложением достигается, когда хотя бы один операнд истинен.</t>
  </si>
  <si>
    <t xml:space="preserve">Оба оператора ложны </t>
  </si>
  <si>
    <t xml:space="preserve">Хотя бы один логический оператор </t>
  </si>
  <si>
    <t xml:space="preserve">Арифметическим </t>
  </si>
  <si>
    <t>Данное выражение является арифметическим выражением.</t>
  </si>
  <si>
    <t>Арифметическим</t>
  </si>
  <si>
    <t>Данное выражение является математическим выражением.</t>
  </si>
  <si>
    <t xml:space="preserve">Алгебраическим </t>
  </si>
  <si>
    <t xml:space="preserve">Логическим </t>
  </si>
  <si>
    <t xml:space="preserve">Положительной </t>
  </si>
  <si>
    <t xml:space="preserve">Отрицательной </t>
  </si>
  <si>
    <t>sherazadishvili.sandro@yandex.ru</t>
  </si>
  <si>
    <t>Шеразадишвили Александр Денисович</t>
  </si>
  <si>
    <t>if(k+b&lt;=a) {y=a;} else{y=(k+b);}</t>
  </si>
  <si>
    <t>if(m==n) {Console.Writeline(“Совпали");}</t>
  </si>
  <si>
    <t>if(!(m==n)) {Console.Writeline(“Не совпали”);}</t>
  </si>
  <si>
    <t>7, 0.5, -3, 1</t>
  </si>
  <si>
    <t>3, 4, -2, 5</t>
  </si>
  <si>
    <t>Хотя бы один</t>
  </si>
  <si>
    <t>Отрицательную</t>
  </si>
  <si>
    <t xml:space="preserve">Арифметический </t>
  </si>
  <si>
    <t>Арифметический</t>
  </si>
  <si>
    <t>Логический</t>
  </si>
  <si>
    <t xml:space="preserve">Логический </t>
  </si>
  <si>
    <t>Прямой</t>
  </si>
  <si>
    <t>Отрицательной</t>
  </si>
  <si>
    <t>golyudbin_artem@mail.ru</t>
  </si>
  <si>
    <t xml:space="preserve">голюдбин артем владимирович </t>
  </si>
  <si>
    <t>туу-111</t>
  </si>
  <si>
    <t>if (Л.В.) { Группа операторов 1; } else { Группа операторов 2; }</t>
  </si>
  <si>
    <t>if(k+b&lt;=a) {y=a;} else {y=k+b}</t>
  </si>
  <si>
    <t>if(k+b&lt;=a) {y=a;} else{y=k+b}</t>
  </si>
  <si>
    <t>if(m==n) {Console.Writeline(“Совпали“);</t>
  </si>
  <si>
    <t>if(m==n) {Console.Writeline(“Не совпали“)</t>
  </si>
  <si>
    <t xml:space="preserve">исключающие </t>
  </si>
  <si>
    <t>отрицательную</t>
  </si>
  <si>
    <t xml:space="preserve">арифметический </t>
  </si>
  <si>
    <t>арифметический</t>
  </si>
  <si>
    <t xml:space="preserve">логический  </t>
  </si>
  <si>
    <t>логический</t>
  </si>
  <si>
    <t xml:space="preserve">логический </t>
  </si>
  <si>
    <t>прямой</t>
  </si>
  <si>
    <t>отрицательной</t>
  </si>
  <si>
    <t>sabbarik5@gmail.com</t>
  </si>
  <si>
    <t>Баранов Александр Алексеевич</t>
  </si>
  <si>
    <t>один или более</t>
  </si>
  <si>
    <t>один ил более</t>
  </si>
  <si>
    <t>инвертированную</t>
  </si>
  <si>
    <t>арифметическое</t>
  </si>
  <si>
    <t>логическое</t>
  </si>
  <si>
    <t>бинарной</t>
  </si>
  <si>
    <t>egorvolobuev9307@gmail.com</t>
  </si>
  <si>
    <t>Волобуев Егор Дмитриевич</t>
  </si>
  <si>
    <t>if ( k+b&lt;=a ) { y = a; } else { y = k + b; }</t>
  </si>
  <si>
    <t xml:space="preserve">y = ( k + b &lt;= a)? a : k + b </t>
  </si>
  <si>
    <t>if (m==n) {Console.WriteLine(”Совпали”);}</t>
  </si>
  <si>
    <t>if (m==n==false) {Console.WriteLine(”Не совпали”);}</t>
  </si>
  <si>
    <t xml:space="preserve">прямой </t>
  </si>
  <si>
    <t>xgodragez@mail.ru</t>
  </si>
  <si>
    <t>Андреев Глеб Алексеевич</t>
  </si>
  <si>
    <t>y = (k + b &lt;= a) ? a : k + b;</t>
  </si>
  <si>
    <t>if (m == n == False) { Console.WriteLine("Совпали"); }</t>
  </si>
  <si>
    <t>7, 3, 1, 0.5</t>
  </si>
  <si>
    <t>Каждый</t>
  </si>
  <si>
    <t xml:space="preserve">отрицательной </t>
  </si>
  <si>
    <t>andreigolubentsev@yandex.ru</t>
  </si>
  <si>
    <t>Голубенцев Андрей Максимович</t>
  </si>
  <si>
    <t>? , :</t>
  </si>
  <si>
    <t xml:space="preserve">инвертированная </t>
  </si>
  <si>
    <t xml:space="preserve">арифметическое </t>
  </si>
  <si>
    <t xml:space="preserve">логическое </t>
  </si>
  <si>
    <t xml:space="preserve">бинарной </t>
  </si>
  <si>
    <t>arseniy-voronov@mail.ru</t>
  </si>
  <si>
    <t>Воронов Арсений Владимирович</t>
  </si>
  <si>
    <t>if (k+b&lt;=a){y=a;} else{y=k+b;}</t>
  </si>
  <si>
    <t>k+b&lt;=a ? y=a : y=k+b;</t>
  </si>
  <si>
    <t>if (m==) else {Console.WriteLine("Не совпали");}</t>
  </si>
  <si>
    <t>математическое</t>
  </si>
  <si>
    <t>Andrey-tarasenkov18@mail.ru</t>
  </si>
  <si>
    <t>Тарасенков Андрей Денисович</t>
  </si>
  <si>
    <t>{Л.В.}else(Группа операторов 1;){Группа операторов 2;}</t>
  </si>
  <si>
    <t>if (k+b &lt;= a) { y=a; } else { y=k+b; }</t>
  </si>
  <si>
    <t>if (m==n) {Console.WriteLine("Совпали");}</t>
  </si>
  <si>
    <t>if (m==n) else {console.WriteLine("Не совпали"):}</t>
  </si>
  <si>
    <t>произведение</t>
  </si>
  <si>
    <t>спавнительный</t>
  </si>
  <si>
    <t>сравнение</t>
  </si>
  <si>
    <t>сравнительный</t>
  </si>
  <si>
    <t>логический (булевый)</t>
  </si>
  <si>
    <t>сравнительной</t>
  </si>
  <si>
    <t>natalenka0464@gmail.com</t>
  </si>
  <si>
    <t>Грачева Наталья Сергеевна</t>
  </si>
  <si>
    <t>{Л.В.}else[Группа операторов 1;]{Группа операторов 2;}</t>
  </si>
  <si>
    <t>y = ( k + b &lt;=a)? a : k + b</t>
  </si>
  <si>
    <t>if (k+b&lt;=a) {y = a; } else { y = k + b; }</t>
  </si>
  <si>
    <t>if(m==n) {Console.WriteLine("Совпали");}</t>
  </si>
  <si>
    <t>if(m==n) {Console.WriteLine("Не совпали");}</t>
  </si>
  <si>
    <t>yarutkin1@mail.ru</t>
  </si>
  <si>
    <t xml:space="preserve">Яруткин Михаил Александрович </t>
  </si>
  <si>
    <t>if(Л.В.)([Группа операторов 1];)else([Группа операторов 2];)</t>
  </si>
  <si>
    <t>if (k+b&lt;=a) y=a; else y=k+b;</t>
  </si>
  <si>
    <t>if (m==n) Console.WriteLine(“Совпали”);</t>
  </si>
  <si>
    <t>if (m==n) {} else Console.WriteLine(“Не совпали”);</t>
  </si>
  <si>
    <t xml:space="preserve">Отрицательную </t>
  </si>
  <si>
    <t>Арифметическое</t>
  </si>
  <si>
    <t xml:space="preserve">Арифметическое </t>
  </si>
  <si>
    <t xml:space="preserve">Логическое </t>
  </si>
  <si>
    <t>Логическое</t>
  </si>
  <si>
    <t xml:space="preserve">Прямой </t>
  </si>
  <si>
    <t>aleksandrovaligita@gmail.com</t>
  </si>
  <si>
    <t>Александрова Лигита Андреевна</t>
  </si>
  <si>
    <t>s = k + b; if (s &lt;= a) {y = a} else {y = k + b}</t>
  </si>
  <si>
    <t>if ((k + b) &lt;= a) {y = a} else {y = k + b}</t>
  </si>
  <si>
    <t>if (m == n) {Console.WritLine(Совпали)} else {}</t>
  </si>
  <si>
    <t xml:space="preserve"> if (m != n) {Console.WritLine(Не совпали)}</t>
  </si>
  <si>
    <t>умножение</t>
  </si>
  <si>
    <t>больше или равно</t>
  </si>
  <si>
    <t>равенство</t>
  </si>
  <si>
    <t>меньше или равенства</t>
  </si>
  <si>
    <t>vaselek97.ru@gmail.com</t>
  </si>
  <si>
    <t>Моргачёва Анастасия Андреевна</t>
  </si>
  <si>
    <t>if (Л.В.)  {     [Группа операторов 1];  }  else  {      [Группа операторов 2] }</t>
  </si>
  <si>
    <t>(((k + b) &lt;= a) ? (y = a) : (y = k + b))</t>
  </si>
  <si>
    <t>if ((k + b) &lt;= a) {     y = a; } else {     y = k + b }</t>
  </si>
  <si>
    <t>if (m == n) {      Console.WriteLine("Совпали") } else {}</t>
  </si>
  <si>
    <t>if (m == n) {      Console.WriteLine("Не совпали") } else {}</t>
  </si>
  <si>
    <t>сумма</t>
  </si>
  <si>
    <t>арифмеический</t>
  </si>
  <si>
    <t>lizaomni@mail.ru</t>
  </si>
  <si>
    <t xml:space="preserve">Черныгина Елизавета Владимировна </t>
  </si>
  <si>
    <t>if (Л.В.){[Группа операторов 1];} else {[Группа операторов 2];}</t>
  </si>
  <si>
    <t>((k + b) &lt;= a) ? ( y = a) : (  y = k + b )</t>
  </si>
  <si>
    <t>if (m==n) {     Console.Write('Совпали'); } else { }</t>
  </si>
  <si>
    <t>if (m == n) { } else {     Console.Write('Совпали'); }</t>
  </si>
  <si>
    <t>Сумма</t>
  </si>
  <si>
    <t>Разность</t>
  </si>
  <si>
    <t>Произведение</t>
  </si>
  <si>
    <t>логической</t>
  </si>
  <si>
    <t>Сравнение</t>
  </si>
  <si>
    <t>Равенство</t>
  </si>
  <si>
    <t>Баллы (авт.)</t>
  </si>
  <si>
    <t>Баллы (руч.)</t>
  </si>
  <si>
    <t>Почта</t>
  </si>
  <si>
    <t>Фамилия, имя, отчество</t>
  </si>
  <si>
    <t>Группа</t>
  </si>
  <si>
    <t>Дата</t>
  </si>
  <si>
    <t>Старт</t>
  </si>
  <si>
    <t>Финиш</t>
  </si>
  <si>
    <t>Длительность</t>
  </si>
  <si>
    <t>Результаты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</si>
</sst>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/d/yyyy\ h:mm:ss"/>
    <numFmt numFmtId="165" formatCode="0&quot; / 32&quot;"/>
    <numFmt numFmtId="166" formatCode="[$-F400]h:mm:ss\ AM/PM"/>
  </numFmts>
  <fonts count="3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10"/>
      <color theme="1"/>
      <name val="Arial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 applyFont="1" applyAlignment="1"/>
    <xf numFmtId="0" fontId="1" fillId="0" borderId="0" xfId="0" applyFont="1"/>
    <xf numFmtId="0" fontId="1" fillId="0" borderId="0" xfId="0" applyFont="1"/>
    <xf numFmtId="0" fontId="1" fillId="0" borderId="0" xfId="0" applyFont="1" applyAlignment="1"/>
    <xf numFmtId="164" fontId="1" fillId="0" borderId="0" xfId="0" applyNumberFormat="1" applyFont="1" applyAlignment="1"/>
    <xf numFmtId="0" fontId="1" fillId="0" borderId="0" xfId="0" applyFont="1" applyAlignment="1"/>
    <xf numFmtId="14" fontId="1" fillId="0" borderId="0" xfId="0" applyNumberFormat="1" applyFont="1" applyAlignment="1"/>
    <xf numFmtId="19" fontId="1" fillId="0" borderId="0" xfId="0" applyNumberFormat="1" applyFont="1" applyAlignment="1"/>
    <xf numFmtId="165" fontId="1" fillId="0" borderId="0" xfId="0" applyNumberFormat="1" applyFont="1" applyAlignment="1"/>
    <xf numFmtId="0" fontId="1" fillId="2" borderId="0" xfId="0" applyFont="1" applyFill="1" applyAlignment="1"/>
    <xf numFmtId="0" fontId="0" fillId="3" borderId="0" xfId="0" applyFont="1" applyFill="1" applyAlignment="1"/>
    <xf numFmtId="0" fontId="1" fillId="3" borderId="0" xfId="0" applyFont="1" applyFill="1" applyAlignment="1"/>
    <xf numFmtId="0" fontId="2" fillId="0" borderId="0" xfId="0" applyFont="1"/>
    <xf numFmtId="166" fontId="2" fillId="0" borderId="0" xfId="0" applyNumberFormat="1" applyFont="1" applyAlignment="1"/>
    <xf numFmtId="0" fontId="0" fillId="2" borderId="0" xfId="0" applyFont="1" applyFill="1" applyAlignment="1"/>
    <xf numFmtId="1" fontId="2" fillId="3" borderId="0" xfId="0" applyNumberFormat="1" applyFont="1" applyFill="1" applyAlignment="1"/>
    <xf numFmtId="1" fontId="2" fillId="4" borderId="0" xfId="0" applyNumberFormat="1" applyFont="1" applyFill="1" applyAlignment="1"/>
    <xf numFmtId="1" fontId="2" fillId="2" borderId="0" xfId="0" applyNumberFormat="1" applyFont="1" applyFill="1" applyAlignment="1"/>
    <xf numFmtId="1" fontId="2" fillId="5" borderId="0" xfId="0" applyNumberFormat="1" applyFont="1" applyFill="1" applyAlignme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outlinePr summaryBelow="0" summaryRight="0"/>
  </sheetPr>
  <dimension ref="A1:AR15"/>
  <sheetViews>
    <sheetView tabSelected="1" workbookViewId="0">
      <pane ySplit="1" topLeftCell="A2" activePane="bottomLeft" state="frozen"/>
      <selection pane="bottomLeft" activeCell="F28" sqref="F28"/>
    </sheetView>
  </sheetViews>
  <sheetFormatPr defaultColWidth="12.5703125" defaultRowHeight="15.75" customHeight="1" x14ac:dyDescent="0.2"/>
  <cols>
    <col min="1" max="1" width="18.85546875" customWidth="1"/>
    <col min="2" max="2" width="29.85546875" bestFit="1" customWidth="1"/>
    <col min="3" max="3" width="11.5703125" bestFit="1" customWidth="1"/>
    <col min="4" max="4" width="11.85546875" bestFit="1" customWidth="1"/>
    <col min="5" max="5" width="12.140625" bestFit="1" customWidth="1"/>
    <col min="6" max="6" width="35.7109375" bestFit="1" customWidth="1"/>
    <col min="7" max="7" width="8.42578125" bestFit="1" customWidth="1"/>
    <col min="8" max="8" width="10.140625" bestFit="1" customWidth="1"/>
    <col min="9" max="9" width="14.28515625" bestFit="1" customWidth="1"/>
    <col min="10" max="10" width="11.5703125" bestFit="1" customWidth="1"/>
    <col min="11" max="48" width="18.85546875" customWidth="1"/>
  </cols>
  <sheetData>
    <row r="1" spans="1:44" x14ac:dyDescent="0.2">
      <c r="A1" s="1" t="s">
        <v>211</v>
      </c>
      <c r="B1" s="1" t="s">
        <v>206</v>
      </c>
      <c r="C1" s="1" t="s">
        <v>204</v>
      </c>
      <c r="D1" s="2" t="s">
        <v>205</v>
      </c>
      <c r="E1" s="12" t="s">
        <v>213</v>
      </c>
      <c r="F1" s="1" t="s">
        <v>207</v>
      </c>
      <c r="G1" s="1" t="s">
        <v>208</v>
      </c>
      <c r="H1" s="1" t="s">
        <v>209</v>
      </c>
      <c r="I1" s="12" t="s">
        <v>212</v>
      </c>
      <c r="J1" s="1" t="s">
        <v>210</v>
      </c>
      <c r="K1" s="2" t="s">
        <v>0</v>
      </c>
      <c r="L1" s="2" t="s">
        <v>1</v>
      </c>
      <c r="M1" s="2" t="s">
        <v>2</v>
      </c>
      <c r="N1" s="2" t="s">
        <v>3</v>
      </c>
      <c r="O1" s="2" t="s">
        <v>4</v>
      </c>
      <c r="P1" s="2" t="s">
        <v>5</v>
      </c>
      <c r="Q1" s="1" t="s">
        <v>6</v>
      </c>
      <c r="R1" s="2" t="s">
        <v>4</v>
      </c>
      <c r="S1" s="2" t="s">
        <v>4</v>
      </c>
      <c r="T1" s="1" t="s">
        <v>7</v>
      </c>
      <c r="U1" s="1" t="s">
        <v>7</v>
      </c>
      <c r="V1" s="2" t="s">
        <v>8</v>
      </c>
      <c r="W1" s="2" t="s">
        <v>4</v>
      </c>
      <c r="X1" s="2" t="s">
        <v>9</v>
      </c>
      <c r="Y1" s="2" t="s">
        <v>10</v>
      </c>
      <c r="Z1" s="2" t="s">
        <v>11</v>
      </c>
      <c r="AA1" s="2" t="s">
        <v>12</v>
      </c>
      <c r="AB1" s="2" t="s">
        <v>13</v>
      </c>
      <c r="AC1" s="2" t="s">
        <v>14</v>
      </c>
      <c r="AD1" s="2" t="s">
        <v>15</v>
      </c>
      <c r="AE1" s="3" t="s">
        <v>16</v>
      </c>
      <c r="AF1" s="3" t="s">
        <v>17</v>
      </c>
      <c r="AG1" s="3" t="s">
        <v>18</v>
      </c>
      <c r="AH1" s="3" t="s">
        <v>19</v>
      </c>
      <c r="AI1" s="3" t="s">
        <v>20</v>
      </c>
      <c r="AJ1" s="3" t="s">
        <v>21</v>
      </c>
      <c r="AK1" s="3" t="s">
        <v>22</v>
      </c>
      <c r="AL1" s="3" t="s">
        <v>23</v>
      </c>
      <c r="AM1" s="3" t="s">
        <v>24</v>
      </c>
      <c r="AN1" s="3" t="s">
        <v>25</v>
      </c>
      <c r="AO1" s="3" t="s">
        <v>26</v>
      </c>
      <c r="AP1" s="3" t="s">
        <v>27</v>
      </c>
    </row>
    <row r="2" spans="1:44" x14ac:dyDescent="0.2">
      <c r="A2" s="4">
        <v>45273.519994849536</v>
      </c>
      <c r="B2" s="5" t="s">
        <v>55</v>
      </c>
      <c r="C2" s="8">
        <v>4</v>
      </c>
      <c r="D2" s="8">
        <v>15</v>
      </c>
      <c r="E2" s="15">
        <f>ROUND((D2/32)*5,0)</f>
        <v>2</v>
      </c>
      <c r="F2" s="5" t="s">
        <v>56</v>
      </c>
      <c r="G2" s="5" t="s">
        <v>57</v>
      </c>
      <c r="H2" s="6">
        <v>45273</v>
      </c>
      <c r="I2" s="13">
        <f>A2-J2</f>
        <v>45273.0304115162</v>
      </c>
      <c r="J2" s="7">
        <v>0.48958333333333331</v>
      </c>
      <c r="K2" s="9" t="s">
        <v>58</v>
      </c>
      <c r="L2" s="9" t="b">
        <v>1</v>
      </c>
      <c r="M2" s="9" t="b">
        <v>0</v>
      </c>
      <c r="N2" s="9" t="s">
        <v>59</v>
      </c>
      <c r="O2" s="10"/>
      <c r="P2" s="10"/>
      <c r="Q2" s="10"/>
      <c r="R2" s="10"/>
      <c r="S2" s="10"/>
      <c r="T2" s="10"/>
      <c r="U2" s="11" t="s">
        <v>60</v>
      </c>
      <c r="V2" s="10"/>
      <c r="W2" s="10"/>
      <c r="X2" s="11" t="s">
        <v>61</v>
      </c>
      <c r="Y2" s="9" t="s">
        <v>48</v>
      </c>
      <c r="Z2" s="9" t="s">
        <v>62</v>
      </c>
      <c r="AA2" s="9" t="s">
        <v>63</v>
      </c>
      <c r="AB2" s="9" t="s">
        <v>64</v>
      </c>
      <c r="AC2" s="11" t="s">
        <v>65</v>
      </c>
      <c r="AD2" s="11" t="s">
        <v>43</v>
      </c>
      <c r="AE2" s="11" t="s">
        <v>39</v>
      </c>
      <c r="AF2" s="9" t="s">
        <v>66</v>
      </c>
      <c r="AG2" s="9" t="s">
        <v>67</v>
      </c>
      <c r="AH2" s="9" t="s">
        <v>68</v>
      </c>
      <c r="AI2" s="9" t="s">
        <v>69</v>
      </c>
      <c r="AJ2" s="11" t="s">
        <v>70</v>
      </c>
      <c r="AK2" s="11" t="s">
        <v>71</v>
      </c>
      <c r="AL2" s="11" t="s">
        <v>70</v>
      </c>
      <c r="AM2" s="9" t="s">
        <v>72</v>
      </c>
      <c r="AN2" s="11" t="s">
        <v>73</v>
      </c>
      <c r="AO2" s="9" t="s">
        <v>74</v>
      </c>
      <c r="AP2" s="9" t="s">
        <v>74</v>
      </c>
      <c r="AR2" s="14">
        <f ca="1">COUNTCOLOR(K2:AP2,AR2)</f>
        <v>15</v>
      </c>
    </row>
    <row r="3" spans="1:44" x14ac:dyDescent="0.2">
      <c r="A3" s="4">
        <v>45273.53323883102</v>
      </c>
      <c r="B3" s="5" t="s">
        <v>75</v>
      </c>
      <c r="C3" s="8">
        <v>18</v>
      </c>
      <c r="D3" s="8">
        <v>28</v>
      </c>
      <c r="E3" s="16">
        <f t="shared" ref="E3:E15" si="0">ROUND((D3/32)*5,0)</f>
        <v>4</v>
      </c>
      <c r="F3" s="5" t="s">
        <v>76</v>
      </c>
      <c r="G3" s="5" t="s">
        <v>37</v>
      </c>
      <c r="H3" s="6">
        <v>45273</v>
      </c>
      <c r="I3" s="13">
        <f t="shared" ref="I3:I15" si="1">A3-J3</f>
        <v>45273.042266608798</v>
      </c>
      <c r="J3" s="7">
        <v>0.49097222222189885</v>
      </c>
      <c r="K3" s="9" t="s">
        <v>45</v>
      </c>
      <c r="L3" s="9" t="b">
        <v>1</v>
      </c>
      <c r="M3" s="9" t="b">
        <v>0</v>
      </c>
      <c r="N3" s="9" t="s">
        <v>28</v>
      </c>
      <c r="O3" s="9" t="s">
        <v>29</v>
      </c>
      <c r="P3" s="9" t="s">
        <v>77</v>
      </c>
      <c r="Q3" s="11" t="s">
        <v>77</v>
      </c>
      <c r="R3" s="9" t="s">
        <v>32</v>
      </c>
      <c r="S3" s="11" t="s">
        <v>29</v>
      </c>
      <c r="T3" s="9" t="s">
        <v>78</v>
      </c>
      <c r="U3" s="9" t="s">
        <v>79</v>
      </c>
      <c r="V3" s="11" t="s">
        <v>80</v>
      </c>
      <c r="W3" s="11" t="s">
        <v>81</v>
      </c>
      <c r="X3" s="9" t="s">
        <v>42</v>
      </c>
      <c r="Y3" s="9">
        <v>1</v>
      </c>
      <c r="Z3" s="9">
        <v>2</v>
      </c>
      <c r="AA3" s="9" t="s">
        <v>49</v>
      </c>
      <c r="AB3" s="9" t="s">
        <v>82</v>
      </c>
      <c r="AC3" s="9" t="s">
        <v>82</v>
      </c>
      <c r="AD3" s="9" t="s">
        <v>41</v>
      </c>
      <c r="AE3" s="9" t="s">
        <v>83</v>
      </c>
      <c r="AF3" s="9" t="s">
        <v>82</v>
      </c>
      <c r="AG3" s="9" t="s">
        <v>84</v>
      </c>
      <c r="AH3" s="9" t="s">
        <v>84</v>
      </c>
      <c r="AI3" s="9" t="s">
        <v>85</v>
      </c>
      <c r="AJ3" s="9" t="s">
        <v>86</v>
      </c>
      <c r="AK3" s="9" t="s">
        <v>86</v>
      </c>
      <c r="AL3" s="9" t="s">
        <v>87</v>
      </c>
      <c r="AM3" s="9" t="s">
        <v>86</v>
      </c>
      <c r="AN3" s="9" t="s">
        <v>88</v>
      </c>
      <c r="AO3" s="9" t="s">
        <v>89</v>
      </c>
      <c r="AP3" s="9" t="s">
        <v>89</v>
      </c>
      <c r="AR3" s="14">
        <f t="shared" ref="AR3:AR15" ca="1" si="2">COUNTCOLOR(K3:AP3,AR3)</f>
        <v>28</v>
      </c>
    </row>
    <row r="4" spans="1:44" x14ac:dyDescent="0.2">
      <c r="A4" s="4">
        <v>45273.53332130787</v>
      </c>
      <c r="B4" s="5" t="s">
        <v>90</v>
      </c>
      <c r="C4" s="8">
        <v>15</v>
      </c>
      <c r="D4" s="8">
        <v>25</v>
      </c>
      <c r="E4" s="16">
        <f t="shared" si="0"/>
        <v>4</v>
      </c>
      <c r="F4" s="5" t="s">
        <v>91</v>
      </c>
      <c r="G4" s="5" t="s">
        <v>92</v>
      </c>
      <c r="H4" s="6">
        <v>45273</v>
      </c>
      <c r="I4" s="13">
        <f t="shared" si="1"/>
        <v>45273.043737974534</v>
      </c>
      <c r="J4" s="7">
        <v>0.48958333333575865</v>
      </c>
      <c r="K4" s="9" t="s">
        <v>93</v>
      </c>
      <c r="L4" s="9" t="b">
        <v>1</v>
      </c>
      <c r="M4" s="9" t="b">
        <v>0</v>
      </c>
      <c r="N4" s="9" t="s">
        <v>28</v>
      </c>
      <c r="O4" s="9" t="s">
        <v>29</v>
      </c>
      <c r="P4" s="9" t="s">
        <v>94</v>
      </c>
      <c r="Q4" s="11" t="s">
        <v>95</v>
      </c>
      <c r="R4" s="9" t="s">
        <v>32</v>
      </c>
      <c r="S4" s="11" t="s">
        <v>29</v>
      </c>
      <c r="T4" s="9" t="s">
        <v>96</v>
      </c>
      <c r="U4" s="11" t="s">
        <v>97</v>
      </c>
      <c r="V4" s="11" t="s">
        <v>80</v>
      </c>
      <c r="W4" s="11" t="s">
        <v>81</v>
      </c>
      <c r="X4" s="11" t="s">
        <v>40</v>
      </c>
      <c r="Y4" s="9">
        <v>1</v>
      </c>
      <c r="Z4" s="9">
        <v>2</v>
      </c>
      <c r="AA4" s="9" t="s">
        <v>41</v>
      </c>
      <c r="AB4" s="9" t="s">
        <v>36</v>
      </c>
      <c r="AC4" s="9" t="s">
        <v>36</v>
      </c>
      <c r="AD4" s="11" t="s">
        <v>98</v>
      </c>
      <c r="AE4" s="9" t="s">
        <v>99</v>
      </c>
      <c r="AF4" s="9" t="s">
        <v>36</v>
      </c>
      <c r="AG4" s="9" t="s">
        <v>100</v>
      </c>
      <c r="AH4" s="9" t="s">
        <v>100</v>
      </c>
      <c r="AI4" s="9" t="s">
        <v>101</v>
      </c>
      <c r="AJ4" s="9" t="s">
        <v>102</v>
      </c>
      <c r="AK4" s="9" t="s">
        <v>103</v>
      </c>
      <c r="AL4" s="9" t="s">
        <v>102</v>
      </c>
      <c r="AM4" s="9" t="s">
        <v>104</v>
      </c>
      <c r="AN4" s="9" t="s">
        <v>105</v>
      </c>
      <c r="AO4" s="9" t="s">
        <v>106</v>
      </c>
      <c r="AP4" s="9" t="s">
        <v>106</v>
      </c>
      <c r="AR4" s="14">
        <f t="shared" ca="1" si="2"/>
        <v>25</v>
      </c>
    </row>
    <row r="5" spans="1:44" x14ac:dyDescent="0.2">
      <c r="A5" s="4">
        <v>45273.535749884264</v>
      </c>
      <c r="B5" s="5" t="s">
        <v>107</v>
      </c>
      <c r="C5" s="8">
        <v>23</v>
      </c>
      <c r="D5" s="8">
        <v>26</v>
      </c>
      <c r="E5" s="16">
        <f t="shared" si="0"/>
        <v>4</v>
      </c>
      <c r="F5" s="5" t="s">
        <v>108</v>
      </c>
      <c r="G5" s="5" t="s">
        <v>37</v>
      </c>
      <c r="H5" s="6">
        <v>45273</v>
      </c>
      <c r="I5" s="13">
        <f t="shared" si="1"/>
        <v>45273.044777662042</v>
      </c>
      <c r="J5" s="7">
        <v>0.49097222222189885</v>
      </c>
      <c r="K5" s="10"/>
      <c r="L5" s="9" t="b">
        <v>1</v>
      </c>
      <c r="M5" s="9" t="b">
        <v>0</v>
      </c>
      <c r="N5" s="9" t="s">
        <v>28</v>
      </c>
      <c r="O5" s="9" t="s">
        <v>29</v>
      </c>
      <c r="P5" s="9" t="s">
        <v>30</v>
      </c>
      <c r="Q5" s="9" t="s">
        <v>31</v>
      </c>
      <c r="R5" s="9" t="s">
        <v>32</v>
      </c>
      <c r="S5" s="9" t="s">
        <v>32</v>
      </c>
      <c r="T5" s="10"/>
      <c r="U5" s="10"/>
      <c r="V5" s="9" t="s">
        <v>33</v>
      </c>
      <c r="W5" s="9" t="s">
        <v>34</v>
      </c>
      <c r="X5" s="9" t="s">
        <v>35</v>
      </c>
      <c r="Y5" s="9">
        <v>1</v>
      </c>
      <c r="Z5" s="9">
        <v>2</v>
      </c>
      <c r="AA5" s="9" t="s">
        <v>41</v>
      </c>
      <c r="AB5" s="9" t="s">
        <v>109</v>
      </c>
      <c r="AC5" s="9" t="s">
        <v>110</v>
      </c>
      <c r="AD5" s="9" t="s">
        <v>41</v>
      </c>
      <c r="AE5" s="9" t="s">
        <v>111</v>
      </c>
      <c r="AF5" s="9" t="s">
        <v>36</v>
      </c>
      <c r="AG5" s="9" t="s">
        <v>112</v>
      </c>
      <c r="AH5" s="9" t="s">
        <v>112</v>
      </c>
      <c r="AI5" s="9" t="s">
        <v>112</v>
      </c>
      <c r="AJ5" s="9" t="s">
        <v>113</v>
      </c>
      <c r="AK5" s="9" t="s">
        <v>113</v>
      </c>
      <c r="AL5" s="9" t="s">
        <v>113</v>
      </c>
      <c r="AM5" s="9" t="s">
        <v>113</v>
      </c>
      <c r="AN5" s="11" t="s">
        <v>114</v>
      </c>
      <c r="AO5" s="11" t="s">
        <v>114</v>
      </c>
      <c r="AP5" s="11" t="s">
        <v>114</v>
      </c>
      <c r="AR5" s="14">
        <f t="shared" ca="1" si="2"/>
        <v>26</v>
      </c>
    </row>
    <row r="6" spans="1:44" x14ac:dyDescent="0.2">
      <c r="A6" s="4">
        <v>45273.535980138884</v>
      </c>
      <c r="B6" s="5" t="s">
        <v>115</v>
      </c>
      <c r="C6" s="8">
        <v>19</v>
      </c>
      <c r="D6" s="8">
        <v>30</v>
      </c>
      <c r="E6" s="17">
        <f t="shared" si="0"/>
        <v>5</v>
      </c>
      <c r="F6" s="5" t="s">
        <v>116</v>
      </c>
      <c r="G6" s="5" t="s">
        <v>37</v>
      </c>
      <c r="H6" s="6">
        <v>45273</v>
      </c>
      <c r="I6" s="13">
        <f t="shared" si="1"/>
        <v>45273.042924583329</v>
      </c>
      <c r="J6" s="7">
        <v>0.49305555555474712</v>
      </c>
      <c r="K6" s="9" t="s">
        <v>45</v>
      </c>
      <c r="L6" s="9" t="b">
        <v>1</v>
      </c>
      <c r="M6" s="9" t="b">
        <v>0</v>
      </c>
      <c r="N6" s="9" t="s">
        <v>51</v>
      </c>
      <c r="O6" s="9" t="s">
        <v>29</v>
      </c>
      <c r="P6" s="9" t="s">
        <v>117</v>
      </c>
      <c r="Q6" s="9" t="s">
        <v>118</v>
      </c>
      <c r="R6" s="9" t="s">
        <v>32</v>
      </c>
      <c r="S6" s="9" t="s">
        <v>32</v>
      </c>
      <c r="T6" s="9" t="s">
        <v>119</v>
      </c>
      <c r="U6" s="11" t="s">
        <v>120</v>
      </c>
      <c r="V6" s="9" t="s">
        <v>33</v>
      </c>
      <c r="W6" s="9" t="s">
        <v>34</v>
      </c>
      <c r="X6" s="9" t="s">
        <v>47</v>
      </c>
      <c r="Y6" s="9">
        <v>1</v>
      </c>
      <c r="Z6" s="9">
        <v>2</v>
      </c>
      <c r="AA6" s="11" t="s">
        <v>44</v>
      </c>
      <c r="AB6" s="9" t="s">
        <v>36</v>
      </c>
      <c r="AC6" s="9" t="s">
        <v>36</v>
      </c>
      <c r="AD6" s="9" t="s">
        <v>41</v>
      </c>
      <c r="AE6" s="9" t="s">
        <v>99</v>
      </c>
      <c r="AF6" s="9" t="s">
        <v>36</v>
      </c>
      <c r="AG6" s="9" t="s">
        <v>101</v>
      </c>
      <c r="AH6" s="9" t="s">
        <v>101</v>
      </c>
      <c r="AI6" s="9" t="s">
        <v>100</v>
      </c>
      <c r="AJ6" s="9" t="s">
        <v>103</v>
      </c>
      <c r="AK6" s="9" t="s">
        <v>103</v>
      </c>
      <c r="AL6" s="9" t="s">
        <v>104</v>
      </c>
      <c r="AM6" s="9" t="s">
        <v>103</v>
      </c>
      <c r="AN6" s="9" t="s">
        <v>121</v>
      </c>
      <c r="AO6" s="9" t="s">
        <v>106</v>
      </c>
      <c r="AP6" s="9" t="s">
        <v>106</v>
      </c>
      <c r="AR6" s="14">
        <f t="shared" ca="1" si="2"/>
        <v>30</v>
      </c>
    </row>
    <row r="7" spans="1:44" x14ac:dyDescent="0.2">
      <c r="A7" s="4">
        <v>45273.536220150461</v>
      </c>
      <c r="B7" s="5" t="s">
        <v>122</v>
      </c>
      <c r="C7" s="8">
        <v>22</v>
      </c>
      <c r="D7" s="8">
        <v>30</v>
      </c>
      <c r="E7" s="17">
        <f t="shared" si="0"/>
        <v>5</v>
      </c>
      <c r="F7" s="5" t="s">
        <v>123</v>
      </c>
      <c r="G7" s="5" t="s">
        <v>37</v>
      </c>
      <c r="H7" s="6">
        <v>45273</v>
      </c>
      <c r="I7" s="13">
        <f t="shared" si="1"/>
        <v>45273.046636817126</v>
      </c>
      <c r="J7" s="7">
        <v>0.48958333333575865</v>
      </c>
      <c r="K7" s="9" t="s">
        <v>45</v>
      </c>
      <c r="L7" s="9" t="b">
        <v>1</v>
      </c>
      <c r="M7" s="9" t="b">
        <v>0</v>
      </c>
      <c r="N7" s="9" t="s">
        <v>28</v>
      </c>
      <c r="O7" s="9" t="s">
        <v>29</v>
      </c>
      <c r="P7" s="9" t="s">
        <v>52</v>
      </c>
      <c r="Q7" s="9" t="s">
        <v>124</v>
      </c>
      <c r="R7" s="9" t="s">
        <v>32</v>
      </c>
      <c r="S7" s="9" t="s">
        <v>32</v>
      </c>
      <c r="T7" s="9" t="s">
        <v>53</v>
      </c>
      <c r="U7" s="11" t="s">
        <v>125</v>
      </c>
      <c r="V7" s="9" t="s">
        <v>126</v>
      </c>
      <c r="W7" s="9" t="s">
        <v>34</v>
      </c>
      <c r="X7" s="9" t="s">
        <v>42</v>
      </c>
      <c r="Y7" s="9">
        <v>1</v>
      </c>
      <c r="Z7" s="9">
        <v>2</v>
      </c>
      <c r="AA7" s="9" t="s">
        <v>127</v>
      </c>
      <c r="AB7" s="9" t="s">
        <v>36</v>
      </c>
      <c r="AC7" s="9" t="s">
        <v>36</v>
      </c>
      <c r="AD7" s="9" t="s">
        <v>127</v>
      </c>
      <c r="AE7" s="9" t="s">
        <v>99</v>
      </c>
      <c r="AF7" s="9" t="s">
        <v>36</v>
      </c>
      <c r="AG7" s="9" t="s">
        <v>85</v>
      </c>
      <c r="AH7" s="9" t="s">
        <v>85</v>
      </c>
      <c r="AI7" s="9" t="s">
        <v>85</v>
      </c>
      <c r="AJ7" s="9" t="s">
        <v>86</v>
      </c>
      <c r="AK7" s="9" t="s">
        <v>86</v>
      </c>
      <c r="AL7" s="11" t="s">
        <v>85</v>
      </c>
      <c r="AM7" s="9" t="s">
        <v>86</v>
      </c>
      <c r="AN7" s="9" t="s">
        <v>105</v>
      </c>
      <c r="AO7" s="9" t="s">
        <v>128</v>
      </c>
      <c r="AP7" s="9" t="s">
        <v>106</v>
      </c>
      <c r="AR7" s="14">
        <f t="shared" ca="1" si="2"/>
        <v>30</v>
      </c>
    </row>
    <row r="8" spans="1:44" x14ac:dyDescent="0.2">
      <c r="A8" s="4">
        <v>45273.536248020835</v>
      </c>
      <c r="B8" s="5" t="s">
        <v>129</v>
      </c>
      <c r="C8" s="8">
        <v>17</v>
      </c>
      <c r="D8" s="8">
        <v>21</v>
      </c>
      <c r="E8" s="18">
        <f t="shared" si="0"/>
        <v>3</v>
      </c>
      <c r="F8" s="5" t="s">
        <v>130</v>
      </c>
      <c r="G8" s="5" t="s">
        <v>37</v>
      </c>
      <c r="H8" s="6">
        <v>45273</v>
      </c>
      <c r="I8" s="13">
        <f t="shared" si="1"/>
        <v>45273.045275798613</v>
      </c>
      <c r="J8" s="7">
        <v>0.49097222222189885</v>
      </c>
      <c r="K8" s="10"/>
      <c r="L8" s="9" t="b">
        <v>1</v>
      </c>
      <c r="M8" s="9" t="b">
        <v>0</v>
      </c>
      <c r="N8" s="9" t="s">
        <v>131</v>
      </c>
      <c r="O8" s="10"/>
      <c r="P8" s="10"/>
      <c r="Q8" s="9" t="s">
        <v>31</v>
      </c>
      <c r="R8" s="10"/>
      <c r="S8" s="10"/>
      <c r="T8" s="10"/>
      <c r="U8" s="10"/>
      <c r="V8" s="9" t="s">
        <v>33</v>
      </c>
      <c r="W8" s="10"/>
      <c r="X8" s="9" t="s">
        <v>47</v>
      </c>
      <c r="Y8" s="9">
        <v>1</v>
      </c>
      <c r="Z8" s="9">
        <v>2</v>
      </c>
      <c r="AA8" s="9" t="s">
        <v>41</v>
      </c>
      <c r="AB8" s="9" t="s">
        <v>109</v>
      </c>
      <c r="AC8" s="9" t="s">
        <v>109</v>
      </c>
      <c r="AD8" s="9" t="s">
        <v>41</v>
      </c>
      <c r="AE8" s="9" t="s">
        <v>132</v>
      </c>
      <c r="AF8" s="9" t="s">
        <v>36</v>
      </c>
      <c r="AG8" s="9" t="s">
        <v>133</v>
      </c>
      <c r="AH8" s="9" t="s">
        <v>133</v>
      </c>
      <c r="AI8" s="9" t="s">
        <v>133</v>
      </c>
      <c r="AJ8" s="9" t="s">
        <v>113</v>
      </c>
      <c r="AK8" s="9" t="s">
        <v>134</v>
      </c>
      <c r="AL8" s="9" t="s">
        <v>113</v>
      </c>
      <c r="AM8" s="9" t="s">
        <v>134</v>
      </c>
      <c r="AN8" s="11" t="s">
        <v>114</v>
      </c>
      <c r="AO8" s="11" t="s">
        <v>135</v>
      </c>
      <c r="AP8" s="11" t="s">
        <v>135</v>
      </c>
      <c r="AR8" s="14">
        <f t="shared" ca="1" si="2"/>
        <v>21</v>
      </c>
    </row>
    <row r="9" spans="1:44" x14ac:dyDescent="0.2">
      <c r="A9" s="4">
        <v>45273.538339386578</v>
      </c>
      <c r="B9" s="5" t="s">
        <v>136</v>
      </c>
      <c r="C9" s="8">
        <v>20</v>
      </c>
      <c r="D9" s="8">
        <v>21</v>
      </c>
      <c r="E9" s="18">
        <f t="shared" si="0"/>
        <v>3</v>
      </c>
      <c r="F9" s="5" t="s">
        <v>137</v>
      </c>
      <c r="G9" s="5" t="s">
        <v>37</v>
      </c>
      <c r="H9" s="6">
        <v>45273</v>
      </c>
      <c r="I9" s="13">
        <f t="shared" si="1"/>
        <v>45273.036256053245</v>
      </c>
      <c r="J9" s="7">
        <v>0.50208333333284827</v>
      </c>
      <c r="K9" s="10"/>
      <c r="L9" s="9" t="b">
        <v>1</v>
      </c>
      <c r="M9" s="9" t="b">
        <v>0</v>
      </c>
      <c r="N9" s="9" t="s">
        <v>50</v>
      </c>
      <c r="O9" s="9" t="s">
        <v>29</v>
      </c>
      <c r="P9" s="9" t="s">
        <v>138</v>
      </c>
      <c r="Q9" s="11" t="s">
        <v>139</v>
      </c>
      <c r="R9" s="9" t="s">
        <v>32</v>
      </c>
      <c r="S9" s="9" t="s">
        <v>32</v>
      </c>
      <c r="T9" s="9" t="s">
        <v>46</v>
      </c>
      <c r="U9" s="11" t="s">
        <v>140</v>
      </c>
      <c r="V9" s="9" t="s">
        <v>33</v>
      </c>
      <c r="W9" s="9" t="s">
        <v>34</v>
      </c>
      <c r="X9" s="9" t="s">
        <v>42</v>
      </c>
      <c r="Y9" s="9">
        <v>1</v>
      </c>
      <c r="Z9" s="9">
        <v>2</v>
      </c>
      <c r="AA9" s="9" t="s">
        <v>41</v>
      </c>
      <c r="AB9" s="10"/>
      <c r="AC9" s="9" t="s">
        <v>36</v>
      </c>
      <c r="AD9" s="11" t="s">
        <v>44</v>
      </c>
      <c r="AE9" s="10"/>
      <c r="AF9" s="10"/>
      <c r="AG9" s="9" t="s">
        <v>112</v>
      </c>
      <c r="AH9" s="9" t="s">
        <v>112</v>
      </c>
      <c r="AI9" s="9" t="s">
        <v>112</v>
      </c>
      <c r="AJ9" s="9" t="s">
        <v>113</v>
      </c>
      <c r="AK9" s="9" t="s">
        <v>113</v>
      </c>
      <c r="AL9" s="11" t="s">
        <v>141</v>
      </c>
      <c r="AM9" s="9" t="s">
        <v>113</v>
      </c>
      <c r="AN9" s="10"/>
      <c r="AO9" s="10"/>
      <c r="AP9" s="10"/>
      <c r="AR9" s="14">
        <f t="shared" ca="1" si="2"/>
        <v>21</v>
      </c>
    </row>
    <row r="10" spans="1:44" x14ac:dyDescent="0.2">
      <c r="A10" s="4">
        <v>45273.541106446763</v>
      </c>
      <c r="B10" s="5" t="s">
        <v>142</v>
      </c>
      <c r="C10" s="8">
        <v>21</v>
      </c>
      <c r="D10" s="8">
        <v>24</v>
      </c>
      <c r="E10" s="16">
        <f t="shared" si="0"/>
        <v>4</v>
      </c>
      <c r="F10" s="5" t="s">
        <v>143</v>
      </c>
      <c r="G10" s="5" t="s">
        <v>37</v>
      </c>
      <c r="H10" s="6">
        <v>45273</v>
      </c>
      <c r="I10" s="13">
        <f t="shared" si="1"/>
        <v>45273.049439780094</v>
      </c>
      <c r="J10" s="7">
        <v>0.49166666666860692</v>
      </c>
      <c r="K10" s="11" t="s">
        <v>144</v>
      </c>
      <c r="L10" s="9" t="b">
        <v>1</v>
      </c>
      <c r="M10" s="9" t="b">
        <v>0</v>
      </c>
      <c r="N10" s="9" t="s">
        <v>28</v>
      </c>
      <c r="O10" s="9" t="s">
        <v>29</v>
      </c>
      <c r="P10" s="9" t="s">
        <v>145</v>
      </c>
      <c r="Q10" s="11" t="s">
        <v>145</v>
      </c>
      <c r="R10" s="9" t="s">
        <v>32</v>
      </c>
      <c r="S10" s="9" t="s">
        <v>32</v>
      </c>
      <c r="T10" s="9" t="s">
        <v>146</v>
      </c>
      <c r="U10" s="11" t="s">
        <v>147</v>
      </c>
      <c r="V10" s="9" t="s">
        <v>33</v>
      </c>
      <c r="W10" s="9" t="s">
        <v>34</v>
      </c>
      <c r="X10" s="9" t="s">
        <v>35</v>
      </c>
      <c r="Y10" s="9">
        <v>1</v>
      </c>
      <c r="Z10" s="9">
        <v>2</v>
      </c>
      <c r="AA10" s="9" t="s">
        <v>41</v>
      </c>
      <c r="AB10" s="9" t="s">
        <v>36</v>
      </c>
      <c r="AC10" s="9" t="s">
        <v>36</v>
      </c>
      <c r="AD10" s="9" t="s">
        <v>41</v>
      </c>
      <c r="AE10" s="9" t="s">
        <v>99</v>
      </c>
      <c r="AF10" s="9" t="s">
        <v>36</v>
      </c>
      <c r="AG10" s="9" t="s">
        <v>133</v>
      </c>
      <c r="AH10" s="9" t="s">
        <v>133</v>
      </c>
      <c r="AI10" s="11" t="s">
        <v>148</v>
      </c>
      <c r="AJ10" s="11" t="s">
        <v>149</v>
      </c>
      <c r="AK10" s="11" t="s">
        <v>150</v>
      </c>
      <c r="AL10" s="11" t="s">
        <v>151</v>
      </c>
      <c r="AM10" s="9" t="s">
        <v>152</v>
      </c>
      <c r="AN10" s="9" t="s">
        <v>105</v>
      </c>
      <c r="AO10" s="11" t="s">
        <v>153</v>
      </c>
      <c r="AP10" s="9" t="s">
        <v>106</v>
      </c>
      <c r="AR10" s="14">
        <f t="shared" ca="1" si="2"/>
        <v>24</v>
      </c>
    </row>
    <row r="11" spans="1:44" x14ac:dyDescent="0.2">
      <c r="A11" s="4">
        <v>45273.542670057868</v>
      </c>
      <c r="B11" s="5" t="s">
        <v>154</v>
      </c>
      <c r="C11" s="8">
        <v>20</v>
      </c>
      <c r="D11" s="8">
        <v>24</v>
      </c>
      <c r="E11" s="16">
        <f t="shared" si="0"/>
        <v>4</v>
      </c>
      <c r="F11" s="5" t="s">
        <v>155</v>
      </c>
      <c r="G11" s="5" t="s">
        <v>37</v>
      </c>
      <c r="H11" s="6">
        <v>45273</v>
      </c>
      <c r="I11" s="13">
        <f t="shared" si="1"/>
        <v>45273.0510033912</v>
      </c>
      <c r="J11" s="7">
        <v>0.49166666666860692</v>
      </c>
      <c r="K11" s="11" t="s">
        <v>156</v>
      </c>
      <c r="L11" s="9" t="b">
        <v>1</v>
      </c>
      <c r="M11" s="9" t="b">
        <v>0</v>
      </c>
      <c r="N11" s="9" t="s">
        <v>50</v>
      </c>
      <c r="O11" s="11" t="s">
        <v>32</v>
      </c>
      <c r="P11" s="11" t="s">
        <v>157</v>
      </c>
      <c r="Q11" s="11" t="s">
        <v>158</v>
      </c>
      <c r="R11" s="11" t="s">
        <v>29</v>
      </c>
      <c r="S11" s="9" t="s">
        <v>32</v>
      </c>
      <c r="T11" s="9" t="s">
        <v>159</v>
      </c>
      <c r="U11" s="11" t="s">
        <v>160</v>
      </c>
      <c r="V11" s="9" t="s">
        <v>33</v>
      </c>
      <c r="W11" s="9" t="s">
        <v>34</v>
      </c>
      <c r="X11" s="9" t="s">
        <v>35</v>
      </c>
      <c r="Y11" s="9">
        <v>1</v>
      </c>
      <c r="Z11" s="9">
        <v>2</v>
      </c>
      <c r="AA11" s="9" t="s">
        <v>41</v>
      </c>
      <c r="AB11" s="9" t="s">
        <v>36</v>
      </c>
      <c r="AC11" s="9" t="s">
        <v>36</v>
      </c>
      <c r="AD11" s="9" t="s">
        <v>41</v>
      </c>
      <c r="AE11" s="9" t="s">
        <v>99</v>
      </c>
      <c r="AF11" s="9" t="s">
        <v>36</v>
      </c>
      <c r="AG11" s="9" t="s">
        <v>112</v>
      </c>
      <c r="AH11" s="9" t="s">
        <v>101</v>
      </c>
      <c r="AI11" s="9" t="s">
        <v>101</v>
      </c>
      <c r="AJ11" s="9" t="s">
        <v>103</v>
      </c>
      <c r="AK11" s="9" t="s">
        <v>113</v>
      </c>
      <c r="AL11" s="9" t="s">
        <v>113</v>
      </c>
      <c r="AM11" s="10"/>
      <c r="AN11" s="9" t="s">
        <v>105</v>
      </c>
      <c r="AO11" s="11" t="s">
        <v>153</v>
      </c>
      <c r="AP11" s="9" t="s">
        <v>106</v>
      </c>
      <c r="AR11" s="14">
        <f t="shared" ca="1" si="2"/>
        <v>24</v>
      </c>
    </row>
    <row r="12" spans="1:44" x14ac:dyDescent="0.2">
      <c r="A12" s="4">
        <v>45273.544868472221</v>
      </c>
      <c r="B12" s="5" t="s">
        <v>161</v>
      </c>
      <c r="C12" s="8">
        <v>26</v>
      </c>
      <c r="D12" s="8">
        <v>28</v>
      </c>
      <c r="E12" s="16">
        <f t="shared" si="0"/>
        <v>4</v>
      </c>
      <c r="F12" s="5" t="s">
        <v>162</v>
      </c>
      <c r="G12" s="5" t="s">
        <v>37</v>
      </c>
      <c r="H12" s="6">
        <v>45273</v>
      </c>
      <c r="I12" s="13">
        <f t="shared" si="1"/>
        <v>45273.04834069444</v>
      </c>
      <c r="J12" s="7">
        <v>0.49652777778101154</v>
      </c>
      <c r="K12" s="11" t="s">
        <v>163</v>
      </c>
      <c r="L12" s="9" t="b">
        <v>1</v>
      </c>
      <c r="M12" s="9" t="b">
        <v>0</v>
      </c>
      <c r="N12" s="11" t="s">
        <v>51</v>
      </c>
      <c r="O12" s="9" t="s">
        <v>29</v>
      </c>
      <c r="P12" s="9" t="s">
        <v>164</v>
      </c>
      <c r="Q12" s="11" t="s">
        <v>164</v>
      </c>
      <c r="R12" s="9" t="s">
        <v>32</v>
      </c>
      <c r="S12" s="9" t="s">
        <v>32</v>
      </c>
      <c r="T12" s="9" t="s">
        <v>165</v>
      </c>
      <c r="U12" s="11" t="s">
        <v>166</v>
      </c>
      <c r="V12" s="9" t="s">
        <v>33</v>
      </c>
      <c r="W12" s="9" t="s">
        <v>34</v>
      </c>
      <c r="X12" s="9" t="s">
        <v>42</v>
      </c>
      <c r="Y12" s="9">
        <v>1</v>
      </c>
      <c r="Z12" s="9">
        <v>2</v>
      </c>
      <c r="AA12" s="9" t="s">
        <v>127</v>
      </c>
      <c r="AB12" s="9" t="s">
        <v>82</v>
      </c>
      <c r="AC12" s="9" t="s">
        <v>82</v>
      </c>
      <c r="AD12" s="9" t="s">
        <v>41</v>
      </c>
      <c r="AE12" s="9" t="s">
        <v>167</v>
      </c>
      <c r="AF12" s="9" t="s">
        <v>82</v>
      </c>
      <c r="AG12" s="9" t="s">
        <v>168</v>
      </c>
      <c r="AH12" s="9" t="s">
        <v>169</v>
      </c>
      <c r="AI12" s="9" t="s">
        <v>169</v>
      </c>
      <c r="AJ12" s="9" t="s">
        <v>170</v>
      </c>
      <c r="AK12" s="9" t="s">
        <v>171</v>
      </c>
      <c r="AL12" s="9" t="s">
        <v>170</v>
      </c>
      <c r="AM12" s="9" t="s">
        <v>170</v>
      </c>
      <c r="AN12" s="9" t="s">
        <v>172</v>
      </c>
      <c r="AO12" s="9" t="s">
        <v>74</v>
      </c>
      <c r="AP12" s="9" t="s">
        <v>74</v>
      </c>
      <c r="AR12" s="14">
        <f t="shared" ca="1" si="2"/>
        <v>28</v>
      </c>
    </row>
    <row r="13" spans="1:44" x14ac:dyDescent="0.2">
      <c r="A13" s="4">
        <v>45273.545633518515</v>
      </c>
      <c r="B13" s="5" t="s">
        <v>173</v>
      </c>
      <c r="C13" s="8">
        <v>19</v>
      </c>
      <c r="D13" s="8">
        <v>23</v>
      </c>
      <c r="E13" s="16">
        <f t="shared" si="0"/>
        <v>4</v>
      </c>
      <c r="F13" s="5" t="s">
        <v>174</v>
      </c>
      <c r="G13" s="5" t="s">
        <v>37</v>
      </c>
      <c r="H13" s="6">
        <v>45273</v>
      </c>
      <c r="I13" s="13">
        <f t="shared" si="1"/>
        <v>45273.043550185183</v>
      </c>
      <c r="J13" s="7">
        <v>0.50208333333284827</v>
      </c>
      <c r="K13" s="9" t="s">
        <v>45</v>
      </c>
      <c r="L13" s="9" t="b">
        <v>1</v>
      </c>
      <c r="M13" s="9" t="b">
        <v>0</v>
      </c>
      <c r="N13" s="11" t="s">
        <v>51</v>
      </c>
      <c r="O13" s="9" t="s">
        <v>29</v>
      </c>
      <c r="P13" s="11" t="s">
        <v>175</v>
      </c>
      <c r="Q13" s="11" t="s">
        <v>176</v>
      </c>
      <c r="R13" s="9" t="s">
        <v>32</v>
      </c>
      <c r="S13" s="9" t="s">
        <v>32</v>
      </c>
      <c r="T13" s="9" t="s">
        <v>177</v>
      </c>
      <c r="U13" s="9" t="s">
        <v>178</v>
      </c>
      <c r="V13" s="9" t="s">
        <v>33</v>
      </c>
      <c r="W13" s="9" t="s">
        <v>34</v>
      </c>
      <c r="X13" s="9" t="s">
        <v>35</v>
      </c>
      <c r="Y13" s="9">
        <v>1</v>
      </c>
      <c r="Z13" s="9">
        <v>2</v>
      </c>
      <c r="AA13" s="9" t="s">
        <v>41</v>
      </c>
      <c r="AB13" s="9" t="s">
        <v>36</v>
      </c>
      <c r="AC13" s="9" t="s">
        <v>36</v>
      </c>
      <c r="AD13" s="9" t="s">
        <v>41</v>
      </c>
      <c r="AE13" s="9" t="s">
        <v>99</v>
      </c>
      <c r="AF13" s="10"/>
      <c r="AG13" s="9" t="s">
        <v>101</v>
      </c>
      <c r="AH13" s="9" t="s">
        <v>101</v>
      </c>
      <c r="AI13" s="11" t="s">
        <v>179</v>
      </c>
      <c r="AJ13" s="11" t="s">
        <v>180</v>
      </c>
      <c r="AK13" s="11" t="s">
        <v>181</v>
      </c>
      <c r="AL13" s="11" t="s">
        <v>182</v>
      </c>
      <c r="AM13" s="11" t="s">
        <v>181</v>
      </c>
      <c r="AN13" s="9" t="s">
        <v>105</v>
      </c>
      <c r="AO13" s="9" t="s">
        <v>106</v>
      </c>
      <c r="AP13" s="9" t="s">
        <v>106</v>
      </c>
      <c r="AR13" s="14">
        <f t="shared" ca="1" si="2"/>
        <v>23</v>
      </c>
    </row>
    <row r="14" spans="1:44" x14ac:dyDescent="0.2">
      <c r="A14" s="4">
        <v>45273.547905254629</v>
      </c>
      <c r="B14" s="5" t="s">
        <v>183</v>
      </c>
      <c r="C14" s="8">
        <v>19</v>
      </c>
      <c r="D14" s="8">
        <v>22</v>
      </c>
      <c r="E14" s="18">
        <f t="shared" si="0"/>
        <v>3</v>
      </c>
      <c r="F14" s="5" t="s">
        <v>184</v>
      </c>
      <c r="G14" s="5" t="s">
        <v>37</v>
      </c>
      <c r="H14" s="6">
        <v>45273</v>
      </c>
      <c r="I14" s="13">
        <f t="shared" si="1"/>
        <v>45273.054849699074</v>
      </c>
      <c r="J14" s="7">
        <v>0.49305555555474712</v>
      </c>
      <c r="K14" s="9" t="s">
        <v>185</v>
      </c>
      <c r="L14" s="9" t="b">
        <v>1</v>
      </c>
      <c r="M14" s="9" t="b">
        <v>0</v>
      </c>
      <c r="N14" s="10"/>
      <c r="O14" s="9" t="s">
        <v>29</v>
      </c>
      <c r="P14" s="11" t="s">
        <v>186</v>
      </c>
      <c r="Q14" s="11" t="s">
        <v>187</v>
      </c>
      <c r="R14" s="9" t="s">
        <v>32</v>
      </c>
      <c r="S14" s="9" t="s">
        <v>32</v>
      </c>
      <c r="T14" s="9" t="s">
        <v>188</v>
      </c>
      <c r="U14" s="11" t="s">
        <v>189</v>
      </c>
      <c r="V14" s="9" t="s">
        <v>33</v>
      </c>
      <c r="W14" s="9" t="s">
        <v>34</v>
      </c>
      <c r="X14" s="9" t="s">
        <v>35</v>
      </c>
      <c r="Y14" s="9">
        <v>1</v>
      </c>
      <c r="Z14" s="9">
        <v>2</v>
      </c>
      <c r="AA14" s="9" t="s">
        <v>41</v>
      </c>
      <c r="AB14" s="9" t="s">
        <v>36</v>
      </c>
      <c r="AC14" s="9" t="s">
        <v>36</v>
      </c>
      <c r="AD14" s="9" t="s">
        <v>41</v>
      </c>
      <c r="AE14" s="9" t="s">
        <v>99</v>
      </c>
      <c r="AF14" s="9" t="s">
        <v>36</v>
      </c>
      <c r="AG14" s="11" t="s">
        <v>190</v>
      </c>
      <c r="AH14" s="9" t="s">
        <v>191</v>
      </c>
      <c r="AI14" s="11" t="s">
        <v>148</v>
      </c>
      <c r="AJ14" s="11" t="s">
        <v>180</v>
      </c>
      <c r="AK14" s="11" t="s">
        <v>181</v>
      </c>
      <c r="AL14" s="11" t="s">
        <v>150</v>
      </c>
      <c r="AM14" s="11" t="s">
        <v>181</v>
      </c>
      <c r="AN14" s="9" t="s">
        <v>105</v>
      </c>
      <c r="AO14" s="9" t="s">
        <v>106</v>
      </c>
      <c r="AP14" s="9" t="s">
        <v>106</v>
      </c>
      <c r="AR14" s="14">
        <f t="shared" ca="1" si="2"/>
        <v>22</v>
      </c>
    </row>
    <row r="15" spans="1:44" x14ac:dyDescent="0.2">
      <c r="A15" s="4">
        <v>45273.547996562498</v>
      </c>
      <c r="B15" s="5" t="s">
        <v>192</v>
      </c>
      <c r="C15" s="8">
        <v>18</v>
      </c>
      <c r="D15" s="8">
        <v>23</v>
      </c>
      <c r="E15" s="16">
        <f t="shared" si="0"/>
        <v>4</v>
      </c>
      <c r="F15" s="5" t="s">
        <v>193</v>
      </c>
      <c r="G15" s="5" t="s">
        <v>37</v>
      </c>
      <c r="H15" s="6">
        <v>45273</v>
      </c>
      <c r="I15" s="13">
        <f t="shared" si="1"/>
        <v>45273.044524340279</v>
      </c>
      <c r="J15" s="7">
        <v>0.50347222221898846</v>
      </c>
      <c r="K15" s="9" t="s">
        <v>194</v>
      </c>
      <c r="L15" s="9" t="b">
        <v>1</v>
      </c>
      <c r="M15" s="9" t="b">
        <v>0</v>
      </c>
      <c r="N15" s="11" t="s">
        <v>54</v>
      </c>
      <c r="O15" s="9" t="s">
        <v>29</v>
      </c>
      <c r="P15" s="11" t="s">
        <v>195</v>
      </c>
      <c r="Q15" s="11" t="s">
        <v>187</v>
      </c>
      <c r="R15" s="9" t="s">
        <v>32</v>
      </c>
      <c r="S15" s="9" t="s">
        <v>32</v>
      </c>
      <c r="T15" s="9" t="s">
        <v>196</v>
      </c>
      <c r="U15" s="11" t="s">
        <v>197</v>
      </c>
      <c r="V15" s="9" t="s">
        <v>38</v>
      </c>
      <c r="W15" s="9" t="s">
        <v>34</v>
      </c>
      <c r="X15" s="9" t="s">
        <v>35</v>
      </c>
      <c r="Y15" s="9">
        <v>1</v>
      </c>
      <c r="Z15" s="9">
        <v>2</v>
      </c>
      <c r="AA15" s="9" t="s">
        <v>41</v>
      </c>
      <c r="AB15" s="9" t="s">
        <v>36</v>
      </c>
      <c r="AC15" s="9" t="s">
        <v>36</v>
      </c>
      <c r="AD15" s="9" t="s">
        <v>41</v>
      </c>
      <c r="AE15" s="9" t="s">
        <v>99</v>
      </c>
      <c r="AF15" s="9" t="s">
        <v>36</v>
      </c>
      <c r="AG15" s="11" t="s">
        <v>198</v>
      </c>
      <c r="AH15" s="11" t="s">
        <v>199</v>
      </c>
      <c r="AI15" s="11" t="s">
        <v>200</v>
      </c>
      <c r="AJ15" s="9" t="s">
        <v>201</v>
      </c>
      <c r="AK15" s="9" t="s">
        <v>103</v>
      </c>
      <c r="AL15" s="11" t="s">
        <v>202</v>
      </c>
      <c r="AM15" s="11" t="s">
        <v>203</v>
      </c>
      <c r="AN15" s="9" t="s">
        <v>105</v>
      </c>
      <c r="AO15" s="9" t="s">
        <v>106</v>
      </c>
      <c r="AP15" s="9" t="s">
        <v>106</v>
      </c>
      <c r="AR15" s="14">
        <f t="shared" ca="1" si="2"/>
        <v>23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Ответы на форму (1)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Флэш Флэш</dc:creator>
  <cp:lastModifiedBy>Антон Сафронов</cp:lastModifiedBy>
  <dcterms:created xsi:type="dcterms:W3CDTF">2023-12-13T18:00:35Z</dcterms:created>
  <dcterms:modified xsi:type="dcterms:W3CDTF">2023-12-13T18:07:54Z</dcterms:modified>
</cp:coreProperties>
</file>