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Сафронов А И\Documents\Ведомости\StudentsStatements2023_2024\"/>
    </mc:Choice>
  </mc:AlternateContent>
  <bookViews>
    <workbookView xWindow="0" yWindow="0" windowWidth="28800" windowHeight="11265"/>
  </bookViews>
  <sheets>
    <sheet name="Ответы на форму (1)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2" i="1"/>
  <c r="I3" i="1" l="1"/>
  <c r="I4" i="1"/>
  <c r="I5" i="1"/>
  <c r="I6" i="1"/>
  <c r="I7" i="1"/>
  <c r="I8" i="1"/>
  <c r="I9" i="1"/>
  <c r="I10" i="1"/>
  <c r="I11" i="1"/>
  <c r="I12" i="1"/>
  <c r="I13" i="1"/>
  <c r="I14" i="1"/>
  <c r="I2" i="1"/>
  <c r="AQ7" i="1"/>
  <c r="AQ13" i="1"/>
  <c r="AQ8" i="1"/>
  <c r="AQ14" i="1"/>
  <c r="AQ3" i="1"/>
  <c r="AQ9" i="1"/>
  <c r="AQ4" i="1"/>
  <c r="AQ10" i="1"/>
  <c r="AQ5" i="1"/>
  <c r="AQ11" i="1"/>
  <c r="AQ6" i="1"/>
  <c r="AQ12" i="1"/>
  <c r="AQ2" i="1"/>
</calcChain>
</file>

<file path=xl/sharedStrings.xml><?xml version="1.0" encoding="utf-8"?>
<sst xmlns="http://schemas.openxmlformats.org/spreadsheetml/2006/main" count="462" uniqueCount="156">
  <si>
    <t>Отметка времени</t>
  </si>
  <si>
    <t>Адрес электронной почты</t>
  </si>
  <si>
    <t>Фамилия, имя, отчество (полностью)</t>
  </si>
  <si>
    <t>Дан фрагмент кода следующего вида: "&lt;...&gt; int a; &lt;...&gt;". Какой из блоков схемы алгоритма соответствует этому фрагменту кода?</t>
  </si>
  <si>
    <t>Запишите наименование блока схемы алгоритма, который можно поставить в соответствие фрагменту кода "&lt;...&gt; Console.WriteLine();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</si>
  <si>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Console.WriteLine("{0}, {1}", x, y);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</si>
  <si>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y = myOwnMultiply(x, p);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</si>
  <si>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myOwnInput("a", out x);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</si>
  <si>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y = Math.Cos(x);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</si>
  <si>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"static void Main(string[] args)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</si>
  <si>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char y, alpha, z;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</si>
  <si>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Console.WriteLine("Введите значение x: "); &lt;...&gt;". В случае, если ни одним из блоков данный фрагмент кода изображать не требуется, ответьте символом "-". В случае, если в качестве правильного ответа принимается гипотеза о данных - необходимо указать, каких именно. В общем случае ответ "Данные" применительно к представленной ситуации корректным не является.</t>
  </si>
  <si>
    <t>Запишите наименование блока схемы алгоритма, который можно поставить в соответствие фрагменту кода "&lt;...&gt; flg = int.TryParse(Console.ReadLine(), out x);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</si>
  <si>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Console.ReadKey(true); &lt;...&gt;", если известно, что он используется только для приостановки выполнения программы.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</si>
  <si>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int y = x * x; &lt;...&gt;". В случае, если ни одним из блоков данный фрагмент кода изображать не требуется, ответьте символом "-".</t>
  </si>
  <si>
    <t>Запишите наименование блока схемы алгоритма, который можно поставить в соответствие фрагменту кода "&lt;...&gt; int x = Convert.ToInt32(Console.ReadLine()); &lt;...&gt;". В случае, если ни одним из блоков данный фрагмент кода изображать не требуется, ответьте символом "-".</t>
  </si>
  <si>
    <t>Общим наименованием для блоков "Начало" и "Конец" является термин "…". Ответ дать на русском языке.</t>
  </si>
  <si>
    <t>Запишите наименование блока схемы алгоритма, который можно поставить в соответствие фрагменту кода "&lt;...&gt; flgMine = int.TryParse(Console.ReadKey(true), out x); &lt;...&gt;". В случае, если ни одним из блоков данный фрагмент кода изображать не требуется, ответьте символом "-".</t>
  </si>
  <si>
    <t>Запишите через запятую-пробел (", ") в алфавитном порядке запрещённые связи для проиллюстрированного блока.</t>
  </si>
  <si>
    <t>Запишите через запятую-пробел (", ") в алфавитном порядке разрешённые связи для проиллюстрированного блока.</t>
  </si>
  <si>
    <t>Запишите наименование проиллюстрированного типового блока схемы алгоритма.</t>
  </si>
  <si>
    <t/>
  </si>
  <si>
    <t>Невозможно определить без контекста</t>
  </si>
  <si>
    <t>-</t>
  </si>
  <si>
    <t>документ</t>
  </si>
  <si>
    <t>Подпроцесс</t>
  </si>
  <si>
    <t>подпроцесс</t>
  </si>
  <si>
    <t>процесс</t>
  </si>
  <si>
    <t>начало</t>
  </si>
  <si>
    <t>данные</t>
  </si>
  <si>
    <t>ТУУ-111</t>
  </si>
  <si>
    <t>вывод данных</t>
  </si>
  <si>
    <t>Процесс</t>
  </si>
  <si>
    <t>ввод данных</t>
  </si>
  <si>
    <t>Документ</t>
  </si>
  <si>
    <t xml:space="preserve">Документ </t>
  </si>
  <si>
    <t>Данные</t>
  </si>
  <si>
    <t>терминатор</t>
  </si>
  <si>
    <t>Ввод</t>
  </si>
  <si>
    <t>Вывод</t>
  </si>
  <si>
    <t>"Данные"</t>
  </si>
  <si>
    <t xml:space="preserve">Данные </t>
  </si>
  <si>
    <t>Начало</t>
  </si>
  <si>
    <t>Терминатор</t>
  </si>
  <si>
    <t xml:space="preserve">документ </t>
  </si>
  <si>
    <t xml:space="preserve">ТУУ-111 </t>
  </si>
  <si>
    <t xml:space="preserve">Процесс </t>
  </si>
  <si>
    <t xml:space="preserve">процесс </t>
  </si>
  <si>
    <t>туу-111</t>
  </si>
  <si>
    <t xml:space="preserve">Терминатор </t>
  </si>
  <si>
    <t>B, C, D, F, G, H</t>
  </si>
  <si>
    <t>A, E</t>
  </si>
  <si>
    <t>E</t>
  </si>
  <si>
    <t>A, B, C, D, F, G, H</t>
  </si>
  <si>
    <t>A</t>
  </si>
  <si>
    <t>B, C, D, E, F, G, H</t>
  </si>
  <si>
    <t>Конец</t>
  </si>
  <si>
    <t xml:space="preserve">Ввод </t>
  </si>
  <si>
    <t>A, B, C, D, F, H, G</t>
  </si>
  <si>
    <t>C, D, G, H</t>
  </si>
  <si>
    <t>A, B, E, F</t>
  </si>
  <si>
    <t xml:space="preserve">Решение </t>
  </si>
  <si>
    <t>B, F</t>
  </si>
  <si>
    <t>Комментарий</t>
  </si>
  <si>
    <t>A, C, G</t>
  </si>
  <si>
    <t>sabbarik5@gmail.com</t>
  </si>
  <si>
    <t>Баранов Александр Алексеевич</t>
  </si>
  <si>
    <t>B, C, D, F, G</t>
  </si>
  <si>
    <t>A, E, H</t>
  </si>
  <si>
    <t>заданный процесс</t>
  </si>
  <si>
    <t>A, H</t>
  </si>
  <si>
    <t>B, C, D, E, F, G</t>
  </si>
  <si>
    <t>Andrey-tarasenkov18@mail.ru</t>
  </si>
  <si>
    <t>Тарасенков Андрей</t>
  </si>
  <si>
    <t>Туу-111</t>
  </si>
  <si>
    <t>старт/конец</t>
  </si>
  <si>
    <t>C ,D, F, H, G</t>
  </si>
  <si>
    <t xml:space="preserve">A, B, E, F </t>
  </si>
  <si>
    <t>xgodragez@mail.ru</t>
  </si>
  <si>
    <t>Андреев Глеб Алексеевич</t>
  </si>
  <si>
    <t xml:space="preserve"> E</t>
  </si>
  <si>
    <t>A, D, H</t>
  </si>
  <si>
    <t>B, C, E , F, G</t>
  </si>
  <si>
    <t>aleksandrovaligita@gmail.com</t>
  </si>
  <si>
    <t>Александрова Лигита Андреевна</t>
  </si>
  <si>
    <t>Начальный блок</t>
  </si>
  <si>
    <t>A, D, C, D, F, G, H</t>
  </si>
  <si>
    <t>sherazadishvili.sandro@yandex.ru</t>
  </si>
  <si>
    <t>Шеразадишвили Александр Денисович</t>
  </si>
  <si>
    <t xml:space="preserve">Вызов </t>
  </si>
  <si>
    <t>Определение переменных</t>
  </si>
  <si>
    <t>Заголовок</t>
  </si>
  <si>
    <t>B,C, D, F, H, G</t>
  </si>
  <si>
    <t>D, E, H</t>
  </si>
  <si>
    <t>A, B, C, F, G</t>
  </si>
  <si>
    <t>Условие</t>
  </si>
  <si>
    <t>B, D, E, F, H</t>
  </si>
  <si>
    <t>A, C, D, E, G, H</t>
  </si>
  <si>
    <t>B, C, E, G</t>
  </si>
  <si>
    <t>A, D, F, H</t>
  </si>
  <si>
    <t>golyudbin_artem@mail.ru</t>
  </si>
  <si>
    <t>голюдбин артем владимирович</t>
  </si>
  <si>
    <t>вызов функции</t>
  </si>
  <si>
    <t>ввод данных из внешних источников</t>
  </si>
  <si>
    <t>вычисление косинуса</t>
  </si>
  <si>
    <t xml:space="preserve">определение переменных </t>
  </si>
  <si>
    <t>ввод значения x</t>
  </si>
  <si>
    <t>ожидание ввода пользователя</t>
  </si>
  <si>
    <t>умножение</t>
  </si>
  <si>
    <t>заголовок</t>
  </si>
  <si>
    <t>действие</t>
  </si>
  <si>
    <t>B, C, F, G</t>
  </si>
  <si>
    <t>условие</t>
  </si>
  <si>
    <t>ввод и вывод</t>
  </si>
  <si>
    <t>vaselek97.ru@gmail.com</t>
  </si>
  <si>
    <t>Моргачёва Анастасия Андреевна</t>
  </si>
  <si>
    <t>выходные данные</t>
  </si>
  <si>
    <t>входные данные</t>
  </si>
  <si>
    <t>Старт / конец</t>
  </si>
  <si>
    <t xml:space="preserve">C, D, B, F, H, G </t>
  </si>
  <si>
    <t xml:space="preserve">C, D, A, B, F, H, G </t>
  </si>
  <si>
    <t xml:space="preserve">входные данные </t>
  </si>
  <si>
    <t xml:space="preserve">C, D, B, E, F, H, G </t>
  </si>
  <si>
    <t>arsvoron91@mail.ru</t>
  </si>
  <si>
    <t xml:space="preserve">Воронов Арсений Владимирович </t>
  </si>
  <si>
    <t>Входные данные</t>
  </si>
  <si>
    <t>Терминальные фигуры</t>
  </si>
  <si>
    <t>B, C, D, F, G,H</t>
  </si>
  <si>
    <t>natalenka0464@gmail.com</t>
  </si>
  <si>
    <t>Грачева Наталья Сергеевна</t>
  </si>
  <si>
    <t>запуск</t>
  </si>
  <si>
    <t>A, B, E, H</t>
  </si>
  <si>
    <t>djdj.9200@bk.ru</t>
  </si>
  <si>
    <t xml:space="preserve">Аверкиев Дмитрий Евгеньевич </t>
  </si>
  <si>
    <t xml:space="preserve">Вид </t>
  </si>
  <si>
    <t>B, C, D , F, G, H</t>
  </si>
  <si>
    <t>D, C, D, F, G, H</t>
  </si>
  <si>
    <t>kruglikowevgenii@gmail.com</t>
  </si>
  <si>
    <t>Кругликов Евгений Александрович</t>
  </si>
  <si>
    <t>A, B, C, D. F, G, H</t>
  </si>
  <si>
    <t>dzn.sgk@mail.ru</t>
  </si>
  <si>
    <t>Городецкая Надежда Олеговна</t>
  </si>
  <si>
    <t>пуск</t>
  </si>
  <si>
    <t xml:space="preserve">A, B, D, F, G, H </t>
  </si>
  <si>
    <t xml:space="preserve">B, C, D, F, G, H </t>
  </si>
  <si>
    <t>mr.fome2016@yandex.ru</t>
  </si>
  <si>
    <t>Фоменко Сергей Романович</t>
  </si>
  <si>
    <t>Дата начала</t>
  </si>
  <si>
    <t>Время начала</t>
  </si>
  <si>
    <t>Группа</t>
  </si>
  <si>
    <t>Баллы (авт)</t>
  </si>
  <si>
    <t>Баллы (руч)</t>
  </si>
  <si>
    <t>Длительность</t>
  </si>
  <si>
    <t>2 балла сняты за очень долгое прохождение</t>
  </si>
  <si>
    <t>1 балл снят за долгое прохождение</t>
  </si>
  <si>
    <t>Результаты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</si>
</sst>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/d/yyyy\ h:mm:ss"/>
    <numFmt numFmtId="166" formatCode="0&quot; / 31&quot;"/>
    <numFmt numFmtId="168" formatCode="[$-F400]h:mm:ss\ AM/PM"/>
    <numFmt numFmtId="169" formatCode="0&quot; / 30&quot;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b/>
      <sz val="10"/>
      <color theme="1"/>
      <name val="Arial"/>
      <family val="2"/>
      <charset val="204"/>
      <scheme val="minor"/>
    </font>
    <font>
      <b/>
      <sz val="10"/>
      <color rgb="FF000000"/>
      <name val="Arial"/>
      <family val="2"/>
      <charset val="204"/>
      <scheme val="minor"/>
    </font>
    <font>
      <sz val="10"/>
      <color theme="0"/>
      <name val="Arial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/>
    <xf numFmtId="0" fontId="1" fillId="0" borderId="0" xfId="0" applyFont="1"/>
    <xf numFmtId="164" fontId="1" fillId="0" borderId="0" xfId="0" applyNumberFormat="1" applyFont="1" applyAlignment="1"/>
    <xf numFmtId="166" fontId="1" fillId="0" borderId="0" xfId="0" applyNumberFormat="1" applyFont="1" applyAlignment="1"/>
    <xf numFmtId="14" fontId="1" fillId="0" borderId="0" xfId="0" applyNumberFormat="1" applyFont="1" applyAlignment="1"/>
    <xf numFmtId="19" fontId="1" fillId="0" borderId="0" xfId="0" applyNumberFormat="1" applyFont="1" applyAlignment="1"/>
    <xf numFmtId="0" fontId="1" fillId="2" borderId="0" xfId="0" applyFont="1" applyFill="1" applyAlignment="1"/>
    <xf numFmtId="0" fontId="1" fillId="4" borderId="0" xfId="0" applyFont="1" applyFill="1" applyAlignment="1"/>
    <xf numFmtId="0" fontId="0" fillId="2" borderId="0" xfId="0" applyFont="1" applyFill="1" applyAlignment="1"/>
    <xf numFmtId="168" fontId="1" fillId="0" borderId="0" xfId="0" applyNumberFormat="1" applyFont="1" applyAlignment="1"/>
    <xf numFmtId="168" fontId="1" fillId="3" borderId="0" xfId="0" applyNumberFormat="1" applyFont="1" applyFill="1" applyAlignment="1"/>
    <xf numFmtId="168" fontId="1" fillId="2" borderId="0" xfId="0" applyNumberFormat="1" applyFont="1" applyFill="1" applyAlignment="1"/>
    <xf numFmtId="0" fontId="3" fillId="0" borderId="0" xfId="0" applyFont="1" applyAlignment="1"/>
    <xf numFmtId="0" fontId="0" fillId="4" borderId="0" xfId="0" applyFont="1" applyFill="1" applyAlignment="1"/>
    <xf numFmtId="169" fontId="1" fillId="0" borderId="0" xfId="0" applyNumberFormat="1" applyFont="1" applyAlignment="1"/>
    <xf numFmtId="0" fontId="2" fillId="0" borderId="0" xfId="0" applyFont="1" applyAlignment="1"/>
    <xf numFmtId="0" fontId="4" fillId="0" borderId="0" xfId="0" applyFont="1" applyAlignment="1"/>
    <xf numFmtId="0" fontId="5" fillId="5" borderId="0" xfId="0" applyFont="1" applyFill="1" applyAlignment="1"/>
    <xf numFmtId="0" fontId="3" fillId="0" borderId="0" xfId="0" applyFont="1"/>
    <xf numFmtId="0" fontId="3" fillId="6" borderId="0" xfId="0" applyNumberFormat="1" applyFont="1" applyFill="1" applyAlignment="1"/>
    <xf numFmtId="0" fontId="3" fillId="3" borderId="0" xfId="0" applyNumberFormat="1" applyFont="1" applyFill="1" applyAlignment="1"/>
    <xf numFmtId="0" fontId="3" fillId="4" borderId="0" xfId="0" applyNumberFormat="1" applyFont="1" applyFill="1" applyAlignment="1"/>
    <xf numFmtId="0" fontId="3" fillId="2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S14"/>
  <sheetViews>
    <sheetView tabSelected="1" workbookViewId="0">
      <pane ySplit="1" topLeftCell="A2" activePane="bottomLeft" state="frozen"/>
      <selection pane="bottomLeft" activeCell="F19" sqref="F19"/>
    </sheetView>
  </sheetViews>
  <sheetFormatPr defaultColWidth="12.5703125" defaultRowHeight="15.75" customHeight="1" x14ac:dyDescent="0.2"/>
  <cols>
    <col min="1" max="2" width="18.85546875" customWidth="1"/>
    <col min="3" max="3" width="11" bestFit="1" customWidth="1"/>
    <col min="4" max="4" width="11" customWidth="1"/>
    <col min="5" max="5" width="12.140625" bestFit="1" customWidth="1"/>
    <col min="6" max="6" width="18.85546875" customWidth="1"/>
    <col min="7" max="7" width="11.5703125" bestFit="1" customWidth="1"/>
    <col min="8" max="8" width="13.28515625" bestFit="1" customWidth="1"/>
    <col min="9" max="9" width="14.28515625" bestFit="1" customWidth="1"/>
    <col min="10" max="10" width="8.42578125" bestFit="1" customWidth="1"/>
    <col min="11" max="44" width="18.85546875" customWidth="1"/>
    <col min="45" max="45" width="40.5703125" bestFit="1" customWidth="1"/>
    <col min="46" max="48" width="18.85546875" customWidth="1"/>
  </cols>
  <sheetData>
    <row r="1" spans="1:45" x14ac:dyDescent="0.2">
      <c r="A1" s="1" t="s">
        <v>0</v>
      </c>
      <c r="B1" s="1" t="s">
        <v>1</v>
      </c>
      <c r="C1" s="1" t="s">
        <v>150</v>
      </c>
      <c r="D1" s="3" t="s">
        <v>151</v>
      </c>
      <c r="E1" s="20" t="s">
        <v>155</v>
      </c>
      <c r="F1" s="1" t="s">
        <v>2</v>
      </c>
      <c r="G1" s="2" t="s">
        <v>147</v>
      </c>
      <c r="H1" s="2" t="s">
        <v>148</v>
      </c>
      <c r="I1" s="14" t="s">
        <v>152</v>
      </c>
      <c r="J1" s="1" t="s">
        <v>149</v>
      </c>
      <c r="K1" s="2" t="s">
        <v>3</v>
      </c>
      <c r="L1" s="1" t="s">
        <v>4</v>
      </c>
      <c r="M1" s="3" t="s">
        <v>5</v>
      </c>
      <c r="N1" s="3" t="s">
        <v>6</v>
      </c>
      <c r="O1" s="3" t="s">
        <v>7</v>
      </c>
      <c r="P1" s="3" t="s">
        <v>8</v>
      </c>
      <c r="Q1" s="1" t="s">
        <v>9</v>
      </c>
      <c r="R1" s="1" t="s">
        <v>10</v>
      </c>
      <c r="S1" s="3" t="s">
        <v>11</v>
      </c>
      <c r="T1" s="3" t="s">
        <v>12</v>
      </c>
      <c r="U1" s="1" t="s">
        <v>13</v>
      </c>
      <c r="V1" s="1" t="s">
        <v>14</v>
      </c>
      <c r="W1" s="1" t="s">
        <v>15</v>
      </c>
      <c r="X1" s="3" t="s">
        <v>16</v>
      </c>
      <c r="Y1" s="3" t="s">
        <v>17</v>
      </c>
      <c r="Z1" s="2" t="s">
        <v>18</v>
      </c>
      <c r="AA1" s="2" t="s">
        <v>19</v>
      </c>
      <c r="AB1" s="2" t="s">
        <v>20</v>
      </c>
      <c r="AC1" s="2" t="s">
        <v>19</v>
      </c>
      <c r="AD1" s="2" t="s">
        <v>18</v>
      </c>
      <c r="AE1" s="2" t="s">
        <v>20</v>
      </c>
      <c r="AF1" s="2" t="s">
        <v>19</v>
      </c>
      <c r="AG1" s="2" t="s">
        <v>18</v>
      </c>
      <c r="AH1" s="2" t="s">
        <v>20</v>
      </c>
      <c r="AI1" s="2" t="s">
        <v>19</v>
      </c>
      <c r="AJ1" s="2" t="s">
        <v>18</v>
      </c>
      <c r="AK1" s="2" t="s">
        <v>20</v>
      </c>
      <c r="AL1" s="2" t="s">
        <v>19</v>
      </c>
      <c r="AM1" s="2" t="s">
        <v>18</v>
      </c>
      <c r="AN1" s="2" t="s">
        <v>19</v>
      </c>
      <c r="AO1" s="2" t="s">
        <v>18</v>
      </c>
      <c r="AP1" s="2" t="s">
        <v>21</v>
      </c>
      <c r="AQ1" s="15"/>
      <c r="AS1" s="18" t="s">
        <v>63</v>
      </c>
    </row>
    <row r="2" spans="1:45" x14ac:dyDescent="0.2">
      <c r="A2" s="4">
        <v>45217.601098761574</v>
      </c>
      <c r="B2" s="2" t="s">
        <v>65</v>
      </c>
      <c r="C2" s="5">
        <v>16</v>
      </c>
      <c r="D2" s="16">
        <v>16</v>
      </c>
      <c r="E2" s="21">
        <f>ROUNDUP((D2/30)*5,0)</f>
        <v>3</v>
      </c>
      <c r="F2" s="2" t="s">
        <v>66</v>
      </c>
      <c r="G2" s="6">
        <v>45217</v>
      </c>
      <c r="H2" s="7">
        <v>0.57708333333721384</v>
      </c>
      <c r="I2" s="11">
        <f>A2-H2</f>
        <v>45217.024015428236</v>
      </c>
      <c r="J2" s="2" t="s">
        <v>30</v>
      </c>
      <c r="K2" s="9" t="s">
        <v>22</v>
      </c>
      <c r="L2" s="9" t="s">
        <v>23</v>
      </c>
      <c r="M2" s="9" t="s">
        <v>29</v>
      </c>
      <c r="N2" s="8" t="s">
        <v>27</v>
      </c>
      <c r="O2" s="9" t="s">
        <v>33</v>
      </c>
      <c r="P2" s="9" t="s">
        <v>27</v>
      </c>
      <c r="Q2" s="8" t="s">
        <v>23</v>
      </c>
      <c r="R2" s="9" t="s">
        <v>23</v>
      </c>
      <c r="S2" s="8" t="s">
        <v>29</v>
      </c>
      <c r="T2" s="9" t="s">
        <v>29</v>
      </c>
      <c r="U2" s="9" t="s">
        <v>23</v>
      </c>
      <c r="V2" s="9" t="s">
        <v>27</v>
      </c>
      <c r="W2" s="9" t="s">
        <v>29</v>
      </c>
      <c r="X2" s="9" t="s">
        <v>37</v>
      </c>
      <c r="Y2" s="8" t="s">
        <v>27</v>
      </c>
      <c r="Z2" s="8" t="s">
        <v>67</v>
      </c>
      <c r="AA2" s="8" t="s">
        <v>68</v>
      </c>
      <c r="AB2" s="9" t="s">
        <v>27</v>
      </c>
      <c r="AC2" s="9" t="s">
        <v>52</v>
      </c>
      <c r="AD2" s="9" t="s">
        <v>53</v>
      </c>
      <c r="AE2" s="8" t="s">
        <v>69</v>
      </c>
      <c r="AF2" s="8" t="s">
        <v>68</v>
      </c>
      <c r="AG2" s="8" t="s">
        <v>67</v>
      </c>
      <c r="AH2" s="9" t="s">
        <v>29</v>
      </c>
      <c r="AI2" s="8" t="s">
        <v>68</v>
      </c>
      <c r="AJ2" s="8" t="s">
        <v>67</v>
      </c>
      <c r="AK2" s="9" t="s">
        <v>24</v>
      </c>
      <c r="AL2" s="8" t="s">
        <v>68</v>
      </c>
      <c r="AM2" s="8" t="s">
        <v>67</v>
      </c>
      <c r="AN2" s="8" t="s">
        <v>70</v>
      </c>
      <c r="AO2" s="8" t="s">
        <v>71</v>
      </c>
      <c r="AQ2" s="15">
        <f ca="1">COUNTCOLOR(K2:AO2,AQ2)</f>
        <v>16</v>
      </c>
    </row>
    <row r="3" spans="1:45" x14ac:dyDescent="0.2">
      <c r="A3" s="4">
        <v>45217.609006203704</v>
      </c>
      <c r="B3" s="2" t="s">
        <v>72</v>
      </c>
      <c r="C3" s="5">
        <v>22</v>
      </c>
      <c r="D3" s="16">
        <v>22</v>
      </c>
      <c r="E3" s="22">
        <f t="shared" ref="E3:E14" si="0">ROUNDUP((D3/30)*5,0)</f>
        <v>4</v>
      </c>
      <c r="F3" s="2" t="s">
        <v>73</v>
      </c>
      <c r="G3" s="6">
        <v>45217</v>
      </c>
      <c r="H3" s="7">
        <v>0.57986111110949423</v>
      </c>
      <c r="I3" s="11">
        <f t="shared" ref="I3:I14" si="1">A3-H3</f>
        <v>45217.029145092594</v>
      </c>
      <c r="J3" s="2" t="s">
        <v>74</v>
      </c>
      <c r="K3" s="9" t="s">
        <v>22</v>
      </c>
      <c r="L3" s="8" t="s">
        <v>34</v>
      </c>
      <c r="M3" s="9" t="s">
        <v>34</v>
      </c>
      <c r="N3" s="9" t="s">
        <v>26</v>
      </c>
      <c r="O3" s="9" t="s">
        <v>26</v>
      </c>
      <c r="P3" s="9" t="s">
        <v>32</v>
      </c>
      <c r="Q3" s="8" t="s">
        <v>36</v>
      </c>
      <c r="R3" s="8" t="s">
        <v>36</v>
      </c>
      <c r="S3" s="9" t="s">
        <v>34</v>
      </c>
      <c r="T3" s="9" t="s">
        <v>36</v>
      </c>
      <c r="U3" s="9" t="s">
        <v>23</v>
      </c>
      <c r="V3" s="9" t="s">
        <v>32</v>
      </c>
      <c r="W3" s="9" t="s">
        <v>36</v>
      </c>
      <c r="X3" s="8" t="s">
        <v>75</v>
      </c>
      <c r="Y3" s="8" t="s">
        <v>27</v>
      </c>
      <c r="Z3" s="8" t="s">
        <v>76</v>
      </c>
      <c r="AA3" s="8" t="s">
        <v>77</v>
      </c>
      <c r="AB3" s="9" t="s">
        <v>32</v>
      </c>
      <c r="AC3" s="9" t="s">
        <v>52</v>
      </c>
      <c r="AD3" s="9" t="s">
        <v>53</v>
      </c>
      <c r="AE3" s="9" t="s">
        <v>25</v>
      </c>
      <c r="AF3" s="8" t="s">
        <v>60</v>
      </c>
      <c r="AG3" s="8" t="s">
        <v>59</v>
      </c>
      <c r="AH3" s="9" t="s">
        <v>36</v>
      </c>
      <c r="AI3" s="9" t="s">
        <v>51</v>
      </c>
      <c r="AJ3" s="9" t="s">
        <v>50</v>
      </c>
      <c r="AK3" s="9" t="s">
        <v>34</v>
      </c>
      <c r="AL3" s="9" t="s">
        <v>51</v>
      </c>
      <c r="AM3" s="9" t="s">
        <v>50</v>
      </c>
      <c r="AN3" s="9" t="s">
        <v>54</v>
      </c>
      <c r="AO3" s="9" t="s">
        <v>55</v>
      </c>
      <c r="AQ3" s="15">
        <f t="shared" ref="AQ3:AQ14" ca="1" si="2">COUNTCOLOR(K3:AO3,AQ3)</f>
        <v>22</v>
      </c>
    </row>
    <row r="4" spans="1:45" x14ac:dyDescent="0.2">
      <c r="A4" s="4">
        <v>45217.61005304398</v>
      </c>
      <c r="B4" s="2" t="s">
        <v>78</v>
      </c>
      <c r="C4" s="5">
        <v>25</v>
      </c>
      <c r="D4" s="16">
        <v>25</v>
      </c>
      <c r="E4" s="23">
        <f t="shared" si="0"/>
        <v>5</v>
      </c>
      <c r="F4" s="2" t="s">
        <v>79</v>
      </c>
      <c r="G4" s="6">
        <v>45217</v>
      </c>
      <c r="H4" s="7">
        <v>0.57847222222335404</v>
      </c>
      <c r="I4" s="11">
        <f t="shared" si="1"/>
        <v>45217.031580821757</v>
      </c>
      <c r="J4" s="2" t="s">
        <v>30</v>
      </c>
      <c r="K4" s="9" t="s">
        <v>22</v>
      </c>
      <c r="L4" s="9" t="s">
        <v>23</v>
      </c>
      <c r="M4" s="9" t="s">
        <v>41</v>
      </c>
      <c r="N4" s="8" t="s">
        <v>41</v>
      </c>
      <c r="O4" s="9" t="s">
        <v>33</v>
      </c>
      <c r="P4" s="9" t="s">
        <v>32</v>
      </c>
      <c r="Q4" s="8" t="s">
        <v>25</v>
      </c>
      <c r="R4" s="9" t="s">
        <v>23</v>
      </c>
      <c r="S4" s="9" t="s">
        <v>23</v>
      </c>
      <c r="T4" s="9" t="s">
        <v>36</v>
      </c>
      <c r="U4" s="8" t="s">
        <v>41</v>
      </c>
      <c r="V4" s="9" t="s">
        <v>46</v>
      </c>
      <c r="W4" s="9" t="s">
        <v>41</v>
      </c>
      <c r="X4" s="9" t="s">
        <v>49</v>
      </c>
      <c r="Y4" s="8" t="s">
        <v>41</v>
      </c>
      <c r="Z4" s="9" t="s">
        <v>50</v>
      </c>
      <c r="AA4" s="9" t="s">
        <v>51</v>
      </c>
      <c r="AB4" s="9" t="s">
        <v>32</v>
      </c>
      <c r="AC4" s="9" t="s">
        <v>80</v>
      </c>
      <c r="AD4" s="9" t="s">
        <v>53</v>
      </c>
      <c r="AE4" s="9" t="s">
        <v>25</v>
      </c>
      <c r="AF4" s="9" t="s">
        <v>51</v>
      </c>
      <c r="AG4" s="9" t="s">
        <v>50</v>
      </c>
      <c r="AH4" s="9" t="s">
        <v>36</v>
      </c>
      <c r="AI4" s="9" t="s">
        <v>51</v>
      </c>
      <c r="AJ4" s="9" t="s">
        <v>50</v>
      </c>
      <c r="AK4" s="9" t="s">
        <v>34</v>
      </c>
      <c r="AL4" s="9" t="s">
        <v>51</v>
      </c>
      <c r="AM4" s="9" t="s">
        <v>50</v>
      </c>
      <c r="AN4" s="8" t="s">
        <v>81</v>
      </c>
      <c r="AO4" s="8" t="s">
        <v>82</v>
      </c>
      <c r="AQ4" s="15">
        <f t="shared" ca="1" si="2"/>
        <v>25</v>
      </c>
    </row>
    <row r="5" spans="1:45" x14ac:dyDescent="0.2">
      <c r="A5" s="4">
        <v>45217.611429409721</v>
      </c>
      <c r="B5" s="2" t="s">
        <v>83</v>
      </c>
      <c r="C5" s="5">
        <v>22</v>
      </c>
      <c r="D5" s="16">
        <v>24</v>
      </c>
      <c r="E5" s="22">
        <f t="shared" si="0"/>
        <v>4</v>
      </c>
      <c r="F5" s="2" t="s">
        <v>84</v>
      </c>
      <c r="G5" s="6">
        <v>45217</v>
      </c>
      <c r="H5" s="7">
        <v>0.58680555555474712</v>
      </c>
      <c r="I5" s="11">
        <f t="shared" si="1"/>
        <v>45217.024623854166</v>
      </c>
      <c r="J5" s="2" t="s">
        <v>30</v>
      </c>
      <c r="K5" s="8" t="s">
        <v>40</v>
      </c>
      <c r="L5" s="9" t="s">
        <v>23</v>
      </c>
      <c r="M5" s="9" t="s">
        <v>36</v>
      </c>
      <c r="N5" s="8" t="s">
        <v>32</v>
      </c>
      <c r="O5" s="8" t="s">
        <v>32</v>
      </c>
      <c r="P5" s="9" t="s">
        <v>32</v>
      </c>
      <c r="Q5" s="8" t="s">
        <v>32</v>
      </c>
      <c r="R5" s="8" t="s">
        <v>36</v>
      </c>
      <c r="S5" s="9" t="s">
        <v>23</v>
      </c>
      <c r="T5" s="9" t="s">
        <v>36</v>
      </c>
      <c r="U5" s="9" t="s">
        <v>23</v>
      </c>
      <c r="V5" s="9" t="s">
        <v>36</v>
      </c>
      <c r="W5" s="9" t="s">
        <v>36</v>
      </c>
      <c r="X5" s="8" t="s">
        <v>85</v>
      </c>
      <c r="Y5" s="8" t="s">
        <v>32</v>
      </c>
      <c r="Z5" s="9" t="s">
        <v>50</v>
      </c>
      <c r="AA5" s="9" t="s">
        <v>51</v>
      </c>
      <c r="AB5" s="9" t="s">
        <v>32</v>
      </c>
      <c r="AC5" s="9" t="s">
        <v>52</v>
      </c>
      <c r="AD5" s="9" t="s">
        <v>86</v>
      </c>
      <c r="AE5" s="9" t="s">
        <v>25</v>
      </c>
      <c r="AF5" s="9" t="s">
        <v>51</v>
      </c>
      <c r="AG5" s="9" t="s">
        <v>50</v>
      </c>
      <c r="AH5" s="9" t="s">
        <v>36</v>
      </c>
      <c r="AI5" s="9" t="s">
        <v>51</v>
      </c>
      <c r="AJ5" s="9" t="s">
        <v>50</v>
      </c>
      <c r="AK5" s="9" t="s">
        <v>34</v>
      </c>
      <c r="AL5" s="9" t="s">
        <v>51</v>
      </c>
      <c r="AM5" s="9" t="s">
        <v>50</v>
      </c>
      <c r="AN5" s="9" t="s">
        <v>54</v>
      </c>
      <c r="AO5" s="9" t="s">
        <v>55</v>
      </c>
      <c r="AQ5" s="15">
        <f t="shared" ca="1" si="2"/>
        <v>24</v>
      </c>
    </row>
    <row r="6" spans="1:45" x14ac:dyDescent="0.2">
      <c r="A6" s="4">
        <v>45217.612225717588</v>
      </c>
      <c r="B6" s="2" t="s">
        <v>87</v>
      </c>
      <c r="C6" s="5">
        <v>13</v>
      </c>
      <c r="D6" s="16">
        <v>14</v>
      </c>
      <c r="E6" s="21">
        <f t="shared" si="0"/>
        <v>3</v>
      </c>
      <c r="F6" s="2" t="s">
        <v>88</v>
      </c>
      <c r="G6" s="6">
        <v>45217</v>
      </c>
      <c r="H6" s="7">
        <v>0.58333333333575865</v>
      </c>
      <c r="I6" s="11">
        <f t="shared" si="1"/>
        <v>45217.028892384253</v>
      </c>
      <c r="J6" s="2" t="s">
        <v>30</v>
      </c>
      <c r="K6" s="8" t="s">
        <v>40</v>
      </c>
      <c r="L6" s="8" t="s">
        <v>39</v>
      </c>
      <c r="M6" s="9" t="s">
        <v>39</v>
      </c>
      <c r="N6" s="8" t="s">
        <v>89</v>
      </c>
      <c r="O6" s="9" t="s">
        <v>38</v>
      </c>
      <c r="P6" s="9" t="s">
        <v>32</v>
      </c>
      <c r="Q6" s="9" t="s">
        <v>42</v>
      </c>
      <c r="R6" s="8" t="s">
        <v>90</v>
      </c>
      <c r="S6" s="8" t="s">
        <v>38</v>
      </c>
      <c r="T6" s="9" t="s">
        <v>38</v>
      </c>
      <c r="U6" s="8" t="s">
        <v>38</v>
      </c>
      <c r="V6" s="9" t="s">
        <v>32</v>
      </c>
      <c r="W6" s="9" t="s">
        <v>38</v>
      </c>
      <c r="X6" s="8" t="s">
        <v>91</v>
      </c>
      <c r="Y6" s="8" t="s">
        <v>38</v>
      </c>
      <c r="Z6" s="9" t="s">
        <v>92</v>
      </c>
      <c r="AA6" s="9" t="s">
        <v>51</v>
      </c>
      <c r="AB6" s="9" t="s">
        <v>32</v>
      </c>
      <c r="AC6" s="8" t="s">
        <v>93</v>
      </c>
      <c r="AD6" s="8" t="s">
        <v>94</v>
      </c>
      <c r="AE6" s="8" t="s">
        <v>95</v>
      </c>
      <c r="AF6" s="8" t="s">
        <v>64</v>
      </c>
      <c r="AG6" s="8" t="s">
        <v>96</v>
      </c>
      <c r="AH6" s="9" t="s">
        <v>57</v>
      </c>
      <c r="AI6" s="8" t="s">
        <v>97</v>
      </c>
      <c r="AJ6" s="8" t="s">
        <v>62</v>
      </c>
      <c r="AK6" s="9" t="s">
        <v>34</v>
      </c>
      <c r="AL6" s="8" t="s">
        <v>98</v>
      </c>
      <c r="AM6" s="8" t="s">
        <v>99</v>
      </c>
      <c r="AN6" s="9" t="s">
        <v>54</v>
      </c>
      <c r="AO6" s="9" t="s">
        <v>55</v>
      </c>
      <c r="AQ6" s="15">
        <f t="shared" ca="1" si="2"/>
        <v>14</v>
      </c>
    </row>
    <row r="7" spans="1:45" x14ac:dyDescent="0.2">
      <c r="A7" s="4">
        <v>45217.612230474537</v>
      </c>
      <c r="B7" s="2" t="s">
        <v>100</v>
      </c>
      <c r="C7" s="5">
        <v>8</v>
      </c>
      <c r="D7" s="16">
        <v>12</v>
      </c>
      <c r="E7" s="24">
        <f t="shared" si="0"/>
        <v>2</v>
      </c>
      <c r="F7" s="2" t="s">
        <v>101</v>
      </c>
      <c r="G7" s="6">
        <v>45217</v>
      </c>
      <c r="H7" s="7">
        <v>0.57847222222335404</v>
      </c>
      <c r="I7" s="11">
        <f t="shared" si="1"/>
        <v>45217.033758252313</v>
      </c>
      <c r="J7" s="2" t="s">
        <v>48</v>
      </c>
      <c r="K7" s="8" t="s">
        <v>40</v>
      </c>
      <c r="L7" s="8" t="s">
        <v>31</v>
      </c>
      <c r="M7" s="9" t="s">
        <v>31</v>
      </c>
      <c r="N7" s="9" t="s">
        <v>102</v>
      </c>
      <c r="O7" s="9" t="s">
        <v>103</v>
      </c>
      <c r="P7" s="8" t="s">
        <v>104</v>
      </c>
      <c r="Q7" s="9" t="s">
        <v>28</v>
      </c>
      <c r="R7" s="8" t="s">
        <v>105</v>
      </c>
      <c r="S7" s="8" t="s">
        <v>106</v>
      </c>
      <c r="T7" s="9" t="s">
        <v>33</v>
      </c>
      <c r="U7" s="8" t="s">
        <v>107</v>
      </c>
      <c r="V7" s="8" t="s">
        <v>108</v>
      </c>
      <c r="W7" s="9" t="s">
        <v>33</v>
      </c>
      <c r="X7" s="8" t="s">
        <v>109</v>
      </c>
      <c r="Y7" s="8" t="s">
        <v>102</v>
      </c>
      <c r="Z7" s="8" t="s">
        <v>62</v>
      </c>
      <c r="AA7" s="9" t="s">
        <v>51</v>
      </c>
      <c r="AB7" s="8" t="s">
        <v>110</v>
      </c>
      <c r="AC7" s="9" t="s">
        <v>52</v>
      </c>
      <c r="AD7" s="8" t="s">
        <v>111</v>
      </c>
      <c r="AE7" s="8" t="s">
        <v>112</v>
      </c>
      <c r="AF7" s="8" t="s">
        <v>64</v>
      </c>
      <c r="AG7" s="8" t="s">
        <v>96</v>
      </c>
      <c r="AH7" s="9" t="s">
        <v>113</v>
      </c>
      <c r="AI7" s="8" t="s">
        <v>97</v>
      </c>
      <c r="AJ7" s="8" t="s">
        <v>62</v>
      </c>
      <c r="AK7" s="9" t="s">
        <v>24</v>
      </c>
      <c r="AL7" s="8" t="s">
        <v>98</v>
      </c>
      <c r="AM7" s="8" t="s">
        <v>99</v>
      </c>
      <c r="AN7" s="9" t="s">
        <v>54</v>
      </c>
      <c r="AO7" s="9" t="s">
        <v>55</v>
      </c>
      <c r="AQ7" s="15">
        <f t="shared" ca="1" si="2"/>
        <v>12</v>
      </c>
    </row>
    <row r="8" spans="1:45" x14ac:dyDescent="0.2">
      <c r="A8" s="4">
        <v>45217.612824502314</v>
      </c>
      <c r="B8" s="2" t="s">
        <v>114</v>
      </c>
      <c r="C8" s="5">
        <v>16</v>
      </c>
      <c r="D8" s="16">
        <v>23</v>
      </c>
      <c r="E8" s="22">
        <f t="shared" si="0"/>
        <v>4</v>
      </c>
      <c r="F8" s="2" t="s">
        <v>115</v>
      </c>
      <c r="G8" s="6">
        <v>45217</v>
      </c>
      <c r="H8" s="7">
        <v>0.57986111110949423</v>
      </c>
      <c r="I8" s="11">
        <f t="shared" si="1"/>
        <v>45217.032963391204</v>
      </c>
      <c r="J8" s="2" t="s">
        <v>45</v>
      </c>
      <c r="K8" s="8" t="s">
        <v>40</v>
      </c>
      <c r="L8" s="8" t="s">
        <v>116</v>
      </c>
      <c r="M8" s="9" t="s">
        <v>29</v>
      </c>
      <c r="N8" s="9" t="s">
        <v>26</v>
      </c>
      <c r="O8" s="9" t="s">
        <v>29</v>
      </c>
      <c r="P8" s="9" t="s">
        <v>27</v>
      </c>
      <c r="Q8" s="8" t="s">
        <v>29</v>
      </c>
      <c r="R8" s="8" t="s">
        <v>117</v>
      </c>
      <c r="S8" s="8" t="s">
        <v>27</v>
      </c>
      <c r="T8" s="8" t="s">
        <v>27</v>
      </c>
      <c r="U8" s="9" t="s">
        <v>23</v>
      </c>
      <c r="V8" s="9" t="s">
        <v>27</v>
      </c>
      <c r="W8" s="9" t="s">
        <v>29</v>
      </c>
      <c r="X8" s="8" t="s">
        <v>118</v>
      </c>
      <c r="Y8" s="8" t="s">
        <v>26</v>
      </c>
      <c r="Z8" s="9" t="s">
        <v>119</v>
      </c>
      <c r="AA8" s="9" t="s">
        <v>51</v>
      </c>
      <c r="AB8" s="9" t="s">
        <v>27</v>
      </c>
      <c r="AC8" s="9" t="s">
        <v>52</v>
      </c>
      <c r="AD8" s="9" t="s">
        <v>120</v>
      </c>
      <c r="AE8" s="9" t="s">
        <v>26</v>
      </c>
      <c r="AF8" s="9" t="s">
        <v>51</v>
      </c>
      <c r="AG8" s="9" t="s">
        <v>119</v>
      </c>
      <c r="AH8" s="9" t="s">
        <v>121</v>
      </c>
      <c r="AI8" s="9" t="s">
        <v>51</v>
      </c>
      <c r="AJ8" s="9" t="s">
        <v>119</v>
      </c>
      <c r="AK8" s="9" t="s">
        <v>24</v>
      </c>
      <c r="AL8" s="9" t="s">
        <v>51</v>
      </c>
      <c r="AM8" s="9" t="s">
        <v>119</v>
      </c>
      <c r="AN8" s="9" t="s">
        <v>54</v>
      </c>
      <c r="AO8" s="9" t="s">
        <v>122</v>
      </c>
      <c r="AQ8" s="15">
        <f t="shared" ca="1" si="2"/>
        <v>23</v>
      </c>
    </row>
    <row r="9" spans="1:45" x14ac:dyDescent="0.2">
      <c r="A9" s="4">
        <v>45217.613866631946</v>
      </c>
      <c r="B9" s="2" t="s">
        <v>123</v>
      </c>
      <c r="C9" s="5">
        <v>20</v>
      </c>
      <c r="D9" s="16">
        <v>22</v>
      </c>
      <c r="E9" s="22">
        <f t="shared" si="0"/>
        <v>4</v>
      </c>
      <c r="F9" s="2" t="s">
        <v>124</v>
      </c>
      <c r="G9" s="6">
        <v>45217</v>
      </c>
      <c r="H9" s="7">
        <v>0.5819444444423425</v>
      </c>
      <c r="I9" s="11">
        <f t="shared" si="1"/>
        <v>45217.031922187503</v>
      </c>
      <c r="J9" s="2" t="s">
        <v>30</v>
      </c>
      <c r="K9" s="8" t="s">
        <v>40</v>
      </c>
      <c r="L9" s="8" t="s">
        <v>125</v>
      </c>
      <c r="M9" s="9" t="s">
        <v>36</v>
      </c>
      <c r="N9" s="9" t="s">
        <v>25</v>
      </c>
      <c r="O9" s="9" t="s">
        <v>36</v>
      </c>
      <c r="P9" s="9" t="s">
        <v>47</v>
      </c>
      <c r="Q9" s="9" t="s">
        <v>42</v>
      </c>
      <c r="R9" s="8" t="s">
        <v>36</v>
      </c>
      <c r="S9" s="8" t="s">
        <v>36</v>
      </c>
      <c r="T9" s="8" t="s">
        <v>32</v>
      </c>
      <c r="U9" s="8" t="s">
        <v>56</v>
      </c>
      <c r="V9" s="8" t="s">
        <v>125</v>
      </c>
      <c r="W9" s="8" t="s">
        <v>32</v>
      </c>
      <c r="X9" s="9" t="s">
        <v>126</v>
      </c>
      <c r="Y9" s="8" t="s">
        <v>32</v>
      </c>
      <c r="Z9" s="9" t="s">
        <v>50</v>
      </c>
      <c r="AA9" s="9" t="s">
        <v>51</v>
      </c>
      <c r="AB9" s="9" t="s">
        <v>32</v>
      </c>
      <c r="AC9" s="9" t="s">
        <v>52</v>
      </c>
      <c r="AD9" s="9" t="s">
        <v>53</v>
      </c>
      <c r="AE9" s="9" t="s">
        <v>25</v>
      </c>
      <c r="AF9" s="9" t="s">
        <v>51</v>
      </c>
      <c r="AG9" s="9" t="s">
        <v>127</v>
      </c>
      <c r="AH9" s="9" t="s">
        <v>36</v>
      </c>
      <c r="AI9" s="9" t="s">
        <v>51</v>
      </c>
      <c r="AJ9" s="9" t="s">
        <v>50</v>
      </c>
      <c r="AK9" s="9" t="s">
        <v>34</v>
      </c>
      <c r="AL9" s="9" t="s">
        <v>51</v>
      </c>
      <c r="AM9" s="9" t="s">
        <v>50</v>
      </c>
      <c r="AN9" s="9" t="s">
        <v>54</v>
      </c>
      <c r="AO9" s="9" t="s">
        <v>55</v>
      </c>
      <c r="AQ9" s="15">
        <f t="shared" ca="1" si="2"/>
        <v>22</v>
      </c>
    </row>
    <row r="10" spans="1:45" x14ac:dyDescent="0.2">
      <c r="A10" s="4">
        <v>45217.616410601855</v>
      </c>
      <c r="B10" s="2" t="s">
        <v>128</v>
      </c>
      <c r="C10" s="5">
        <v>17</v>
      </c>
      <c r="D10" s="16">
        <v>17</v>
      </c>
      <c r="E10" s="21">
        <f t="shared" si="0"/>
        <v>3</v>
      </c>
      <c r="F10" s="2" t="s">
        <v>129</v>
      </c>
      <c r="G10" s="6">
        <v>45217</v>
      </c>
      <c r="H10" s="7">
        <v>0.57916666666278616</v>
      </c>
      <c r="I10" s="12">
        <f t="shared" si="1"/>
        <v>45217.037243935192</v>
      </c>
      <c r="J10" s="2" t="s">
        <v>30</v>
      </c>
      <c r="K10" s="9" t="s">
        <v>22</v>
      </c>
      <c r="L10" s="8" t="s">
        <v>24</v>
      </c>
      <c r="M10" s="9" t="s">
        <v>34</v>
      </c>
      <c r="N10" s="9" t="s">
        <v>26</v>
      </c>
      <c r="O10" s="9" t="s">
        <v>29</v>
      </c>
      <c r="P10" s="9" t="s">
        <v>27</v>
      </c>
      <c r="Q10" s="10"/>
      <c r="R10" s="10"/>
      <c r="S10" s="8" t="s">
        <v>31</v>
      </c>
      <c r="T10" s="8" t="s">
        <v>27</v>
      </c>
      <c r="U10" s="9" t="s">
        <v>23</v>
      </c>
      <c r="V10" s="9" t="s">
        <v>27</v>
      </c>
      <c r="W10" s="9" t="s">
        <v>33</v>
      </c>
      <c r="X10" s="8" t="s">
        <v>130</v>
      </c>
      <c r="Y10" s="8" t="s">
        <v>26</v>
      </c>
      <c r="Z10" s="8" t="s">
        <v>67</v>
      </c>
      <c r="AA10" s="9" t="s">
        <v>51</v>
      </c>
      <c r="AB10" s="9" t="s">
        <v>27</v>
      </c>
      <c r="AC10" s="9" t="s">
        <v>52</v>
      </c>
      <c r="AD10" s="9" t="s">
        <v>53</v>
      </c>
      <c r="AE10" s="9" t="s">
        <v>26</v>
      </c>
      <c r="AF10" s="8" t="s">
        <v>131</v>
      </c>
      <c r="AG10" s="9" t="s">
        <v>50</v>
      </c>
      <c r="AH10" s="9" t="s">
        <v>29</v>
      </c>
      <c r="AI10" s="8" t="s">
        <v>60</v>
      </c>
      <c r="AJ10" s="9" t="s">
        <v>50</v>
      </c>
      <c r="AK10" s="9" t="s">
        <v>24</v>
      </c>
      <c r="AL10" s="8" t="s">
        <v>68</v>
      </c>
      <c r="AM10" s="8" t="s">
        <v>67</v>
      </c>
      <c r="AN10" s="9" t="s">
        <v>54</v>
      </c>
      <c r="AO10" s="8" t="s">
        <v>71</v>
      </c>
      <c r="AQ10" s="15">
        <f t="shared" ca="1" si="2"/>
        <v>18</v>
      </c>
      <c r="AS10" s="17" t="s">
        <v>154</v>
      </c>
    </row>
    <row r="11" spans="1:45" x14ac:dyDescent="0.2">
      <c r="A11" s="4">
        <v>45217.619562511572</v>
      </c>
      <c r="B11" s="2" t="s">
        <v>132</v>
      </c>
      <c r="C11" s="5">
        <v>22</v>
      </c>
      <c r="D11" s="16">
        <v>23</v>
      </c>
      <c r="E11" s="22">
        <f t="shared" si="0"/>
        <v>4</v>
      </c>
      <c r="F11" s="2" t="s">
        <v>133</v>
      </c>
      <c r="G11" s="6">
        <v>45217</v>
      </c>
      <c r="H11" s="7">
        <v>0.57986111110949423</v>
      </c>
      <c r="I11" s="12">
        <f t="shared" si="1"/>
        <v>45217.039701400463</v>
      </c>
      <c r="J11" s="2" t="s">
        <v>45</v>
      </c>
      <c r="K11" s="9" t="s">
        <v>22</v>
      </c>
      <c r="L11" s="9" t="s">
        <v>23</v>
      </c>
      <c r="M11" s="9" t="s">
        <v>36</v>
      </c>
      <c r="N11" s="8" t="s">
        <v>134</v>
      </c>
      <c r="O11" s="9" t="s">
        <v>29</v>
      </c>
      <c r="P11" s="8" t="s">
        <v>61</v>
      </c>
      <c r="Q11" s="8" t="s">
        <v>23</v>
      </c>
      <c r="R11" s="9" t="s">
        <v>23</v>
      </c>
      <c r="S11" s="9" t="s">
        <v>23</v>
      </c>
      <c r="T11" s="9" t="s">
        <v>29</v>
      </c>
      <c r="U11" s="8" t="s">
        <v>36</v>
      </c>
      <c r="V11" s="9" t="s">
        <v>32</v>
      </c>
      <c r="W11" s="9" t="s">
        <v>36</v>
      </c>
      <c r="X11" s="9" t="s">
        <v>43</v>
      </c>
      <c r="Y11" s="8" t="s">
        <v>36</v>
      </c>
      <c r="Z11" s="9" t="s">
        <v>50</v>
      </c>
      <c r="AA11" s="9" t="s">
        <v>51</v>
      </c>
      <c r="AB11" s="9" t="s">
        <v>46</v>
      </c>
      <c r="AC11" s="9" t="s">
        <v>52</v>
      </c>
      <c r="AD11" s="9" t="s">
        <v>58</v>
      </c>
      <c r="AE11" s="9" t="s">
        <v>25</v>
      </c>
      <c r="AF11" s="9" t="s">
        <v>51</v>
      </c>
      <c r="AG11" s="9" t="s">
        <v>135</v>
      </c>
      <c r="AH11" s="9" t="s">
        <v>36</v>
      </c>
      <c r="AI11" s="8" t="s">
        <v>136</v>
      </c>
      <c r="AJ11" s="9" t="s">
        <v>50</v>
      </c>
      <c r="AK11" s="9" t="s">
        <v>34</v>
      </c>
      <c r="AL11" s="9" t="s">
        <v>51</v>
      </c>
      <c r="AM11" s="8" t="s">
        <v>51</v>
      </c>
      <c r="AN11" s="9" t="s">
        <v>54</v>
      </c>
      <c r="AO11" s="9" t="s">
        <v>55</v>
      </c>
      <c r="AQ11" s="15">
        <f t="shared" ca="1" si="2"/>
        <v>24</v>
      </c>
      <c r="AS11" s="17" t="s">
        <v>154</v>
      </c>
    </row>
    <row r="12" spans="1:45" x14ac:dyDescent="0.2">
      <c r="A12" s="4">
        <v>45217.620570694446</v>
      </c>
      <c r="B12" s="2" t="s">
        <v>137</v>
      </c>
      <c r="C12" s="5">
        <v>26</v>
      </c>
      <c r="D12" s="16">
        <v>27</v>
      </c>
      <c r="E12" s="23">
        <f t="shared" si="0"/>
        <v>5</v>
      </c>
      <c r="F12" s="2" t="s">
        <v>138</v>
      </c>
      <c r="G12" s="6">
        <v>45217</v>
      </c>
      <c r="H12" s="7">
        <v>0.58333333333575865</v>
      </c>
      <c r="I12" s="12">
        <f t="shared" si="1"/>
        <v>45217.03723736111</v>
      </c>
      <c r="J12" s="2" t="s">
        <v>30</v>
      </c>
      <c r="K12" s="9" t="s">
        <v>22</v>
      </c>
      <c r="L12" s="9" t="s">
        <v>23</v>
      </c>
      <c r="M12" s="9" t="s">
        <v>36</v>
      </c>
      <c r="N12" s="9" t="s">
        <v>25</v>
      </c>
      <c r="O12" s="9" t="s">
        <v>36</v>
      </c>
      <c r="P12" s="9" t="s">
        <v>32</v>
      </c>
      <c r="Q12" s="9" t="s">
        <v>42</v>
      </c>
      <c r="R12" s="8" t="s">
        <v>36</v>
      </c>
      <c r="S12" s="9" t="s">
        <v>23</v>
      </c>
      <c r="T12" s="8" t="s">
        <v>25</v>
      </c>
      <c r="U12" s="9" t="s">
        <v>23</v>
      </c>
      <c r="V12" s="9" t="s">
        <v>32</v>
      </c>
      <c r="W12" s="9" t="s">
        <v>36</v>
      </c>
      <c r="X12" s="9" t="s">
        <v>126</v>
      </c>
      <c r="Y12" s="8" t="s">
        <v>25</v>
      </c>
      <c r="Z12" s="9" t="s">
        <v>50</v>
      </c>
      <c r="AA12" s="9" t="s">
        <v>51</v>
      </c>
      <c r="AB12" s="9" t="s">
        <v>32</v>
      </c>
      <c r="AC12" s="9" t="s">
        <v>52</v>
      </c>
      <c r="AD12" s="9" t="s">
        <v>139</v>
      </c>
      <c r="AE12" s="9" t="s">
        <v>25</v>
      </c>
      <c r="AF12" s="9" t="s">
        <v>51</v>
      </c>
      <c r="AG12" s="9" t="s">
        <v>50</v>
      </c>
      <c r="AH12" s="9" t="s">
        <v>36</v>
      </c>
      <c r="AI12" s="9" t="s">
        <v>51</v>
      </c>
      <c r="AJ12" s="9" t="s">
        <v>50</v>
      </c>
      <c r="AK12" s="9" t="s">
        <v>34</v>
      </c>
      <c r="AL12" s="9" t="s">
        <v>51</v>
      </c>
      <c r="AM12" s="9" t="s">
        <v>50</v>
      </c>
      <c r="AN12" s="9" t="s">
        <v>54</v>
      </c>
      <c r="AO12" s="9" t="s">
        <v>55</v>
      </c>
      <c r="AQ12" s="15">
        <f t="shared" ca="1" si="2"/>
        <v>28</v>
      </c>
      <c r="AS12" s="17" t="s">
        <v>154</v>
      </c>
    </row>
    <row r="13" spans="1:45" x14ac:dyDescent="0.2">
      <c r="A13" s="4">
        <v>45217.6271825</v>
      </c>
      <c r="B13" s="2" t="s">
        <v>140</v>
      </c>
      <c r="C13" s="5">
        <v>18</v>
      </c>
      <c r="D13" s="16">
        <v>16</v>
      </c>
      <c r="E13" s="21">
        <f t="shared" si="0"/>
        <v>3</v>
      </c>
      <c r="F13" s="2" t="s">
        <v>141</v>
      </c>
      <c r="G13" s="6">
        <v>45217</v>
      </c>
      <c r="H13" s="7">
        <v>0.57569444444379769</v>
      </c>
      <c r="I13" s="13">
        <f t="shared" si="1"/>
        <v>45217.051488055557</v>
      </c>
      <c r="J13" s="2" t="s">
        <v>30</v>
      </c>
      <c r="K13" s="10"/>
      <c r="L13" s="10"/>
      <c r="M13" s="9" t="s">
        <v>29</v>
      </c>
      <c r="N13" s="10"/>
      <c r="O13" s="9" t="s">
        <v>29</v>
      </c>
      <c r="P13" s="10"/>
      <c r="Q13" s="10"/>
      <c r="R13" s="10"/>
      <c r="S13" s="10"/>
      <c r="T13" s="10"/>
      <c r="U13" s="10"/>
      <c r="V13" s="9" t="s">
        <v>27</v>
      </c>
      <c r="W13" s="10"/>
      <c r="X13" s="8" t="s">
        <v>142</v>
      </c>
      <c r="Y13" s="10"/>
      <c r="Z13" s="9" t="s">
        <v>50</v>
      </c>
      <c r="AA13" s="9" t="s">
        <v>51</v>
      </c>
      <c r="AB13" s="9" t="s">
        <v>27</v>
      </c>
      <c r="AC13" s="9" t="s">
        <v>52</v>
      </c>
      <c r="AD13" s="8" t="s">
        <v>143</v>
      </c>
      <c r="AE13" s="9" t="s">
        <v>26</v>
      </c>
      <c r="AF13" s="9" t="s">
        <v>51</v>
      </c>
      <c r="AG13" s="9" t="s">
        <v>144</v>
      </c>
      <c r="AH13" s="9" t="s">
        <v>29</v>
      </c>
      <c r="AI13" s="9" t="s">
        <v>51</v>
      </c>
      <c r="AJ13" s="9" t="s">
        <v>50</v>
      </c>
      <c r="AK13" s="9" t="s">
        <v>44</v>
      </c>
      <c r="AL13" s="9" t="s">
        <v>51</v>
      </c>
      <c r="AM13" s="9" t="s">
        <v>50</v>
      </c>
      <c r="AN13" s="9" t="s">
        <v>54</v>
      </c>
      <c r="AO13" s="9" t="s">
        <v>55</v>
      </c>
      <c r="AQ13" s="15">
        <f t="shared" ca="1" si="2"/>
        <v>18</v>
      </c>
      <c r="AS13" s="19" t="s">
        <v>153</v>
      </c>
    </row>
    <row r="14" spans="1:45" x14ac:dyDescent="0.2">
      <c r="A14" s="4">
        <v>45217.62725873843</v>
      </c>
      <c r="B14" s="2" t="s">
        <v>145</v>
      </c>
      <c r="C14" s="5">
        <v>16</v>
      </c>
      <c r="D14" s="16">
        <v>16</v>
      </c>
      <c r="E14" s="21">
        <f t="shared" si="0"/>
        <v>3</v>
      </c>
      <c r="F14" s="2" t="s">
        <v>146</v>
      </c>
      <c r="G14" s="6">
        <v>45217</v>
      </c>
      <c r="H14" s="7">
        <v>0.60416666666424135</v>
      </c>
      <c r="I14" s="11">
        <f t="shared" si="1"/>
        <v>45217.023092071766</v>
      </c>
      <c r="J14" s="2" t="s">
        <v>30</v>
      </c>
      <c r="K14" s="9" t="s">
        <v>22</v>
      </c>
      <c r="L14" s="10"/>
      <c r="M14" s="10"/>
      <c r="N14" s="10"/>
      <c r="O14" s="9" t="s">
        <v>36</v>
      </c>
      <c r="P14" s="9" t="s">
        <v>32</v>
      </c>
      <c r="Q14" s="10"/>
      <c r="R14" s="10"/>
      <c r="S14" s="10"/>
      <c r="T14" s="10"/>
      <c r="U14" s="9" t="s">
        <v>23</v>
      </c>
      <c r="V14" s="10"/>
      <c r="W14" s="9" t="s">
        <v>36</v>
      </c>
      <c r="X14" s="9" t="s">
        <v>49</v>
      </c>
      <c r="Y14" s="10"/>
      <c r="Z14" s="9" t="s">
        <v>50</v>
      </c>
      <c r="AA14" s="8" t="s">
        <v>50</v>
      </c>
      <c r="AB14" s="10"/>
      <c r="AC14" s="10"/>
      <c r="AD14" s="10"/>
      <c r="AE14" s="9" t="s">
        <v>25</v>
      </c>
      <c r="AF14" s="9" t="s">
        <v>51</v>
      </c>
      <c r="AG14" s="9" t="s">
        <v>50</v>
      </c>
      <c r="AH14" s="10"/>
      <c r="AI14" s="9" t="s">
        <v>51</v>
      </c>
      <c r="AJ14" s="9" t="s">
        <v>50</v>
      </c>
      <c r="AK14" s="9" t="s">
        <v>35</v>
      </c>
      <c r="AL14" s="9" t="s">
        <v>51</v>
      </c>
      <c r="AM14" s="9" t="s">
        <v>50</v>
      </c>
      <c r="AN14" s="10"/>
      <c r="AO14" s="9" t="s">
        <v>55</v>
      </c>
      <c r="AQ14" s="15">
        <f t="shared" ca="1" si="2"/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Ответы на форму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Сафронов А И</cp:lastModifiedBy>
  <dcterms:created xsi:type="dcterms:W3CDTF">2023-10-18T17:03:07Z</dcterms:created>
  <dcterms:modified xsi:type="dcterms:W3CDTF">2023-10-18T17:21:10Z</dcterms:modified>
</cp:coreProperties>
</file>