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Сафронов А И\Documents\Ведомости\StudentsStatements2023_2024\"/>
    </mc:Choice>
  </mc:AlternateContent>
  <bookViews>
    <workbookView xWindow="0" yWindow="0" windowWidth="28800" windowHeight="11265"/>
  </bookViews>
  <sheets>
    <sheet name="Ответы на форму (1)" sheetId="1" r:id="rId1"/>
  </sheets>
  <functionGroups builtInGroupCount="18"/>
  <calcPr calcId="162913"/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2" i="1"/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2" i="1"/>
  <c r="AA5" i="1"/>
  <c r="AA6" i="1"/>
  <c r="AA12" i="1"/>
  <c r="AA7" i="1"/>
  <c r="AA13" i="1"/>
  <c r="AA8" i="1"/>
  <c r="AA14" i="1"/>
  <c r="AA3" i="1"/>
  <c r="AA9" i="1"/>
  <c r="AA15" i="1"/>
  <c r="AA4" i="1"/>
  <c r="AA10" i="1"/>
  <c r="AA11" i="1"/>
  <c r="AA2" i="1"/>
</calcChain>
</file>

<file path=xl/sharedStrings.xml><?xml version="1.0" encoding="utf-8"?>
<sst xmlns="http://schemas.openxmlformats.org/spreadsheetml/2006/main" count="269" uniqueCount="145">
  <si>
    <t>Отметка времени</t>
  </si>
  <si>
    <t>Адрес электронной почты</t>
  </si>
  <si>
    <t>Запишите (с точки зрения организации вычислительного процесса) термин, являющийся прямым синонимом термина «программирование» (одно слово):</t>
  </si>
  <si>
    <t>Запишите строку кода на языке Visual C#, соответствующую фрагменту блок-схемы алгоритма (при ответе соблюдайте синтаксис языка):</t>
  </si>
  <si>
    <t>Запишите строку кода на языке Visual C#, соответствующую фрагменту блок-схемы алгоритма (при ответе соблюдайте синтаксис языка; вещественную константу (вещественные константы) укажите в формате "0.0"):</t>
  </si>
  <si>
    <t>Укажите, какого типа должна быть объявлена переменная с именем "c", чтобы удовлетворить присвоению, представленному на фрагменте блок-схемы алгоритма:</t>
  </si>
  <si>
    <t>Укажите, какого типа должна быть объявлена переменная с именем "r", чтобы удовлетворить присвоению, представленному на фрагменте блок-схемы алгоритма:</t>
  </si>
  <si>
    <t>Укажите, какого типа должна быть объявлена переменная с именем "str", чтобы удовлетворить присвоению, представленному во фрагменте кода на языке Visual C#:</t>
  </si>
  <si>
    <t>Запишите символ, соответствующий оператору присвоения в коде на языке "Visual C#":</t>
  </si>
  <si>
    <t>Какой строкой кода, явно пренебрёг автор выделенного фрагмента программы, составленной на языке Visual C#? При ответе учитывайте синтаксис языка.</t>
  </si>
  <si>
    <t>Укажите, какого типа должна быть объявлена переменная с именем "f", чтобы удовлетворить присвоению, представленному во фрагменте кода на языке Visual C#:</t>
  </si>
  <si>
    <t>Укажите, какого типа должна быть объявлена переменная с именем "x", чтобы удовлетворить присвоению, представленному во фрагменте кода на языке Visual C#:</t>
  </si>
  <si>
    <t>Запишите наименование блока схемы алгоритма, который, как правило, используется для обозначения оператора присвоения:</t>
  </si>
  <si>
    <t>Укажите через запятую-пробел (", ") последовательность действий, максимально точно передающую суть работы оператора присвоения:</t>
  </si>
  <si>
    <t>Укажите через запятую-пробел (", ") последовательность действий, производимых в представленной строке кода:</t>
  </si>
  <si>
    <t>планирование</t>
  </si>
  <si>
    <t>x = k / (l - b);</t>
  </si>
  <si>
    <t>z = Math.Sqrt(q / Math.Sin(x));</t>
  </si>
  <si>
    <t>bool</t>
  </si>
  <si>
    <t>double</t>
  </si>
  <si>
    <t>string</t>
  </si>
  <si>
    <t>=</t>
  </si>
  <si>
    <t>using System;</t>
  </si>
  <si>
    <t>int</t>
  </si>
  <si>
    <t>3, 4, 2, 1</t>
  </si>
  <si>
    <t>ТУУ-111</t>
  </si>
  <si>
    <t>Кодирование</t>
  </si>
  <si>
    <t>float</t>
  </si>
  <si>
    <t>3, 2, 1, 4</t>
  </si>
  <si>
    <t>алгоритмизация</t>
  </si>
  <si>
    <t>процесс</t>
  </si>
  <si>
    <t xml:space="preserve">Алгоритмизация </t>
  </si>
  <si>
    <t xml:space="preserve">double </t>
  </si>
  <si>
    <t>Планирование</t>
  </si>
  <si>
    <t xml:space="preserve">string </t>
  </si>
  <si>
    <t>String</t>
  </si>
  <si>
    <t>Double</t>
  </si>
  <si>
    <t xml:space="preserve">Double </t>
  </si>
  <si>
    <t>Float</t>
  </si>
  <si>
    <t>yarutkin1@mail.ru</t>
  </si>
  <si>
    <t xml:space="preserve">Яруткин Михаил Александрович </t>
  </si>
  <si>
    <t>double x = k / (l-b);</t>
  </si>
  <si>
    <t>Double z = Math.Sqrt(q/Math.Sin(x));</t>
  </si>
  <si>
    <t>F=Math.Pow(var,(tan(a)/sin(x)));</t>
  </si>
  <si>
    <t xml:space="preserve">Int </t>
  </si>
  <si>
    <t>Присвоение</t>
  </si>
  <si>
    <t>surovicsura726@gmail.com</t>
  </si>
  <si>
    <t>Баранов Александр Алексеевич</t>
  </si>
  <si>
    <t>x = double.TryParse(k / (l - b));</t>
  </si>
  <si>
    <t>f = Math.Pow((Math.Tan(a) / Math.Sin(x)), 1 / 3);</t>
  </si>
  <si>
    <t>блок операций</t>
  </si>
  <si>
    <t>9, 10</t>
  </si>
  <si>
    <t>andreigolubentsev@yandex.ru</t>
  </si>
  <si>
    <t xml:space="preserve">Голубенцев Андрей Максимович </t>
  </si>
  <si>
    <t>ТТУ-111</t>
  </si>
  <si>
    <t xml:space="preserve">кодирование </t>
  </si>
  <si>
    <t>x = double.TryParse(k / (l-b));</t>
  </si>
  <si>
    <t>f = Math.Pow((Math.Tan(a)) / Math.Sin(x)), 1 / 3);</t>
  </si>
  <si>
    <t>using Sistem;</t>
  </si>
  <si>
    <t xml:space="preserve">int </t>
  </si>
  <si>
    <t xml:space="preserve">блок операций </t>
  </si>
  <si>
    <t>hf89771346912@yandex.ru</t>
  </si>
  <si>
    <t xml:space="preserve">Хоробров Фёдор Андреевич </t>
  </si>
  <si>
    <t>Double x = k / (l-b);</t>
  </si>
  <si>
    <t>z=Math.Sqrt(q/ Math.Sin(x)c;</t>
  </si>
  <si>
    <t>f=math.Pow(var,(tan(a)/sin(x));</t>
  </si>
  <si>
    <t>Doable</t>
  </si>
  <si>
    <t xml:space="preserve">данные </t>
  </si>
  <si>
    <t>golyugbin_artem@mail.ru</t>
  </si>
  <si>
    <t>голюдбин артем владимирович</t>
  </si>
  <si>
    <t>туу-111</t>
  </si>
  <si>
    <t>double z = Math.Sqrt(q / Math.Sin(x));</t>
  </si>
  <si>
    <t>double result = Math.Pow(Math.Tan(x), 1.0 / 3.0) / Math.Sin(x);</t>
  </si>
  <si>
    <t>присвоение</t>
  </si>
  <si>
    <t>3, 4, 2, 1,</t>
  </si>
  <si>
    <t>egorvolobuev9307@gmail.com</t>
  </si>
  <si>
    <t>Волобуев Егор Дмитриевич</t>
  </si>
  <si>
    <t xml:space="preserve">планирование </t>
  </si>
  <si>
    <t>double f = Math.Pow(Math.Tan(x), 1.0 / 3.0) / math.Pow(Math.Sin(x), 1.0 / 3.0);</t>
  </si>
  <si>
    <t>using system;</t>
  </si>
  <si>
    <t xml:space="preserve">bool </t>
  </si>
  <si>
    <t xml:space="preserve">присвоение </t>
  </si>
  <si>
    <t xml:space="preserve">9, 10, </t>
  </si>
  <si>
    <t>andrey-tarasenkov18@mail.ru</t>
  </si>
  <si>
    <t>Тарасенков Андрей Денисович</t>
  </si>
  <si>
    <t>Туу-111</t>
  </si>
  <si>
    <t xml:space="preserve"> double x = k / (l - b)</t>
  </si>
  <si>
    <t>z = Math.sqrt(q / Math.sin(x));</t>
  </si>
  <si>
    <t>f = math.Pow((math.tan(a) / math.sin(x)), 1 / 3););</t>
  </si>
  <si>
    <t>6, 3, 8</t>
  </si>
  <si>
    <t>natalenka0464@gmail.com</t>
  </si>
  <si>
    <t>Грачева Наталья Сергеевна</t>
  </si>
  <si>
    <t xml:space="preserve"> x = double. TryParse(k / (l-b));</t>
  </si>
  <si>
    <t>f = math.Pow(var,(tan(a)/sin(x)));</t>
  </si>
  <si>
    <t>действие</t>
  </si>
  <si>
    <t>6, 3</t>
  </si>
  <si>
    <t>arsvoron91@mail.ru</t>
  </si>
  <si>
    <t>Воронов Арсений Владимирович</t>
  </si>
  <si>
    <t>f = math.Pow(var,(tan(a)/sin(x));</t>
  </si>
  <si>
    <t>6, 5</t>
  </si>
  <si>
    <t>xgodragez@mail.ru</t>
  </si>
  <si>
    <t>Андреев Глеб Алексеевич</t>
  </si>
  <si>
    <t>double.z = Math.Sqrt(q / Math.Sin(x));</t>
  </si>
  <si>
    <t>double f = Math.Pow(Math.Tan(x), 1.0 / 3.0) / Math.Sin(x);</t>
  </si>
  <si>
    <t>Присвоения</t>
  </si>
  <si>
    <t>djdj.9200@bk.ru</t>
  </si>
  <si>
    <t xml:space="preserve">Аверкиев Дмитрий Евгеньевич </t>
  </si>
  <si>
    <t xml:space="preserve">ТУУ-111 </t>
  </si>
  <si>
    <t xml:space="preserve">Планирование </t>
  </si>
  <si>
    <t xml:space="preserve"> Double.z=Match.Sqrt(q/Match.Sin(x));</t>
  </si>
  <si>
    <t xml:space="preserve">double f = Math.Pow(Math.Tan(x), 1.0 / 3.0) / math.Pow(Math.Sin(x), 1.0 / 3.0); </t>
  </si>
  <si>
    <t>using System</t>
  </si>
  <si>
    <t xml:space="preserve">float </t>
  </si>
  <si>
    <t xml:space="preserve">Присвоение </t>
  </si>
  <si>
    <t>aleksandrovaligita@gmail.com</t>
  </si>
  <si>
    <t>Александрова Лигита Андреевна</t>
  </si>
  <si>
    <t>вычисление</t>
  </si>
  <si>
    <t>double x = k/(l-b);</t>
  </si>
  <si>
    <t>z=Math.Sqrt(q/Math.Sin(x));</t>
  </si>
  <si>
    <t>f=Math.Pow(Var(Tan(a)/Sin(x)));</t>
  </si>
  <si>
    <t>{</t>
  </si>
  <si>
    <t>функциональный</t>
  </si>
  <si>
    <t>3, 5</t>
  </si>
  <si>
    <t>vaselek97.ru@gmail.com</t>
  </si>
  <si>
    <t>Моргачёва Анастасия Андреевна</t>
  </si>
  <si>
    <t>планировние</t>
  </si>
  <si>
    <t>double x = k / (l - b)</t>
  </si>
  <si>
    <t>z = Math.Sprt(q / Math.Sin(x));</t>
  </si>
  <si>
    <t>f = Math.Pow((Math.Tan(a) / Math.Sin(x)), (1 / 3));</t>
  </si>
  <si>
    <t>7, 6, 3</t>
  </si>
  <si>
    <t>kruglikowevgenii@gmail.com</t>
  </si>
  <si>
    <t>Кругликов Евгений Александрович</t>
  </si>
  <si>
    <t>управление</t>
  </si>
  <si>
    <t>f = Math.Pow(Math.Tan(a) / Math.Sin(x), 1 / 3)</t>
  </si>
  <si>
    <t>6, 9</t>
  </si>
  <si>
    <t>Баллы (авт.)</t>
  </si>
  <si>
    <t>Группа</t>
  </si>
  <si>
    <t>Фамилия, имя, отчество</t>
  </si>
  <si>
    <t>Дата начала</t>
  </si>
  <si>
    <t>Время начала</t>
  </si>
  <si>
    <t>Длительность</t>
  </si>
  <si>
    <t>Баллы (руч.)</t>
  </si>
  <si>
    <t>Результат</t>
  </si>
  <si>
    <t>Комментарий</t>
  </si>
  <si>
    <t>-1 балл за долгое прохождение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</si>
</sst>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m/d/yyyy\ h:mm:ss"/>
    <numFmt numFmtId="165" formatCode="0&quot; / 15&quot;"/>
    <numFmt numFmtId="167" formatCode="[$-F400]h:mm:ss\ AM/PM"/>
  </numFmts>
  <fonts count="4" x14ac:knownFonts="1">
    <font>
      <sz val="10"/>
      <color rgb="FF000000"/>
      <name val="Arial"/>
      <scheme val="minor"/>
    </font>
    <font>
      <sz val="10"/>
      <color theme="1"/>
      <name val="Arial"/>
      <family val="2"/>
      <charset val="204"/>
      <scheme val="minor"/>
    </font>
    <font>
      <sz val="10"/>
      <color rgb="FF000000"/>
      <name val="Arial"/>
      <family val="2"/>
      <charset val="204"/>
      <scheme val="minor"/>
    </font>
    <font>
      <b/>
      <sz val="10"/>
      <color theme="1"/>
      <name val="Arial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 applyFont="1" applyAlignment="1"/>
    <xf numFmtId="0" fontId="1" fillId="0" borderId="0" xfId="0" applyFont="1"/>
    <xf numFmtId="164" fontId="1" fillId="0" borderId="0" xfId="0" applyNumberFormat="1" applyFont="1" applyAlignment="1"/>
    <xf numFmtId="0" fontId="1" fillId="0" borderId="0" xfId="0" applyFont="1" applyAlignment="1"/>
    <xf numFmtId="165" fontId="1" fillId="0" borderId="0" xfId="0" applyNumberFormat="1" applyFont="1" applyAlignment="1"/>
    <xf numFmtId="14" fontId="1" fillId="0" borderId="0" xfId="0" applyNumberFormat="1" applyFont="1" applyAlignment="1"/>
    <xf numFmtId="19" fontId="1" fillId="0" borderId="0" xfId="0" applyNumberFormat="1" applyFont="1" applyAlignment="1"/>
    <xf numFmtId="0" fontId="1" fillId="2" borderId="0" xfId="0" applyFont="1" applyFill="1" applyAlignment="1"/>
    <xf numFmtId="0" fontId="1" fillId="4" borderId="0" xfId="0" applyFont="1" applyFill="1" applyAlignment="1"/>
    <xf numFmtId="0" fontId="1" fillId="2" borderId="0" xfId="0" quotePrefix="1" applyFont="1" applyFill="1" applyAlignment="1"/>
    <xf numFmtId="0" fontId="0" fillId="4" borderId="0" xfId="0" applyFont="1" applyFill="1" applyAlignment="1"/>
    <xf numFmtId="0" fontId="1" fillId="4" borderId="0" xfId="0" quotePrefix="1" applyFont="1" applyFill="1" applyAlignment="1"/>
    <xf numFmtId="167" fontId="1" fillId="0" borderId="0" xfId="0" applyNumberFormat="1" applyFont="1" applyAlignment="1"/>
    <xf numFmtId="167" fontId="1" fillId="3" borderId="0" xfId="0" applyNumberFormat="1" applyFont="1" applyFill="1" applyAlignment="1"/>
    <xf numFmtId="0" fontId="0" fillId="2" borderId="0" xfId="0" applyFont="1" applyFill="1" applyAlignment="1"/>
    <xf numFmtId="0" fontId="2" fillId="0" borderId="0" xfId="0" applyFont="1" applyAlignment="1"/>
    <xf numFmtId="0" fontId="2" fillId="0" borderId="0" xfId="0" quotePrefix="1" applyFont="1" applyAlignment="1"/>
    <xf numFmtId="0" fontId="3" fillId="0" borderId="0" xfId="0" applyFont="1"/>
    <xf numFmtId="0" fontId="3" fillId="2" borderId="0" xfId="0" applyNumberFormat="1" applyFont="1" applyFill="1" applyAlignment="1"/>
    <xf numFmtId="0" fontId="3" fillId="4" borderId="0" xfId="0" applyNumberFormat="1" applyFont="1" applyFill="1" applyAlignment="1"/>
    <xf numFmtId="0" fontId="3" fillId="5" borderId="0" xfId="0" applyNumberFormat="1" applyFont="1" applyFill="1" applyAlignment="1"/>
    <xf numFmtId="0" fontId="3" fillId="3" borderId="0" xfId="0" applyNumberFormat="1" applyFont="1" applyFill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B15"/>
  <sheetViews>
    <sheetView tabSelected="1" workbookViewId="0">
      <pane xSplit="6" ySplit="1" topLeftCell="G2" activePane="bottomRight" state="frozen"/>
      <selection pane="topRight" activeCell="G1" sqref="G1"/>
      <selection pane="bottomLeft" activeCell="A2" sqref="A2"/>
      <selection pane="bottomRight" activeCell="F20" sqref="F20"/>
    </sheetView>
  </sheetViews>
  <sheetFormatPr defaultColWidth="12.5703125" defaultRowHeight="15.75" customHeight="1" x14ac:dyDescent="0.2"/>
  <cols>
    <col min="1" max="1" width="17" bestFit="1" customWidth="1"/>
    <col min="2" max="2" width="26.5703125" bestFit="1" customWidth="1"/>
    <col min="3" max="3" width="11.5703125" bestFit="1" customWidth="1"/>
    <col min="4" max="4" width="11.5703125" customWidth="1"/>
    <col min="5" max="5" width="9.5703125" bestFit="1" customWidth="1"/>
    <col min="6" max="6" width="31.85546875" bestFit="1" customWidth="1"/>
    <col min="7" max="7" width="8.42578125" bestFit="1" customWidth="1"/>
    <col min="8" max="8" width="11.5703125" bestFit="1" customWidth="1"/>
    <col min="9" max="9" width="12.7109375" bestFit="1" customWidth="1"/>
    <col min="10" max="10" width="13.28515625" bestFit="1" customWidth="1"/>
    <col min="11" max="26" width="18.85546875" customWidth="1"/>
    <col min="27" max="27" width="11.42578125" customWidth="1"/>
    <col min="28" max="31" width="18.85546875" customWidth="1"/>
  </cols>
  <sheetData>
    <row r="1" spans="1:28" x14ac:dyDescent="0.2">
      <c r="A1" s="1" t="s">
        <v>0</v>
      </c>
      <c r="B1" s="1" t="s">
        <v>1</v>
      </c>
      <c r="C1" s="1" t="s">
        <v>135</v>
      </c>
      <c r="D1" s="1" t="s">
        <v>141</v>
      </c>
      <c r="E1" s="17" t="s">
        <v>142</v>
      </c>
      <c r="F1" s="1" t="s">
        <v>137</v>
      </c>
      <c r="G1" s="1" t="s">
        <v>136</v>
      </c>
      <c r="H1" s="1" t="s">
        <v>138</v>
      </c>
      <c r="I1" s="1" t="s">
        <v>140</v>
      </c>
      <c r="J1" s="1" t="s">
        <v>139</v>
      </c>
      <c r="K1" s="1" t="s">
        <v>2</v>
      </c>
      <c r="L1" s="1" t="s">
        <v>3</v>
      </c>
      <c r="M1" s="1" t="s">
        <v>3</v>
      </c>
      <c r="N1" s="1" t="s">
        <v>4</v>
      </c>
      <c r="O1" s="1" t="s">
        <v>5</v>
      </c>
      <c r="P1" s="1" t="s">
        <v>6</v>
      </c>
      <c r="Q1" s="1" t="s">
        <v>7</v>
      </c>
      <c r="R1" s="1" t="s">
        <v>8</v>
      </c>
      <c r="S1" s="1" t="s">
        <v>9</v>
      </c>
      <c r="T1" s="1" t="s">
        <v>10</v>
      </c>
      <c r="U1" s="1" t="s">
        <v>11</v>
      </c>
      <c r="V1" s="1" t="s">
        <v>11</v>
      </c>
      <c r="W1" s="1" t="s">
        <v>12</v>
      </c>
      <c r="X1" s="1" t="s">
        <v>13</v>
      </c>
      <c r="Y1" s="1" t="s">
        <v>14</v>
      </c>
      <c r="AB1" s="15" t="s">
        <v>143</v>
      </c>
    </row>
    <row r="2" spans="1:28" x14ac:dyDescent="0.2">
      <c r="A2" s="2">
        <v>45203.520031446758</v>
      </c>
      <c r="B2" s="3" t="s">
        <v>39</v>
      </c>
      <c r="C2" s="4">
        <v>4</v>
      </c>
      <c r="D2" s="4">
        <v>6</v>
      </c>
      <c r="E2" s="19">
        <f>ROUND((D2/13)*5,0)</f>
        <v>2</v>
      </c>
      <c r="F2" s="3" t="s">
        <v>40</v>
      </c>
      <c r="G2" s="3" t="s">
        <v>25</v>
      </c>
      <c r="H2" s="5">
        <v>45203</v>
      </c>
      <c r="I2" s="12">
        <f>A2-J2</f>
        <v>45203.020031446758</v>
      </c>
      <c r="J2" s="6">
        <v>0.5</v>
      </c>
      <c r="K2" s="8" t="s">
        <v>26</v>
      </c>
      <c r="L2" s="7" t="s">
        <v>41</v>
      </c>
      <c r="M2" s="7" t="s">
        <v>42</v>
      </c>
      <c r="N2" s="8" t="s">
        <v>43</v>
      </c>
      <c r="O2" s="8" t="s">
        <v>44</v>
      </c>
      <c r="P2" s="7" t="s">
        <v>36</v>
      </c>
      <c r="Q2" s="7" t="s">
        <v>35</v>
      </c>
      <c r="R2" s="9" t="s">
        <v>21</v>
      </c>
      <c r="S2" s="10"/>
      <c r="T2" s="8" t="s">
        <v>36</v>
      </c>
      <c r="U2" s="7" t="s">
        <v>38</v>
      </c>
      <c r="V2" s="8" t="s">
        <v>38</v>
      </c>
      <c r="W2" s="8" t="s">
        <v>45</v>
      </c>
      <c r="X2" s="10"/>
      <c r="Y2" s="8" t="s">
        <v>28</v>
      </c>
      <c r="AA2" s="14">
        <f ca="1">COUNTCOLOR(K2:Y2,AA2)</f>
        <v>6</v>
      </c>
    </row>
    <row r="3" spans="1:28" x14ac:dyDescent="0.2">
      <c r="A3" s="2">
        <v>45203.525299791669</v>
      </c>
      <c r="B3" s="3" t="s">
        <v>46</v>
      </c>
      <c r="C3" s="4">
        <v>9</v>
      </c>
      <c r="D3" s="4">
        <v>10</v>
      </c>
      <c r="E3" s="21">
        <f t="shared" ref="E3:E15" si="0">ROUND((D3/13)*5,0)</f>
        <v>4</v>
      </c>
      <c r="F3" s="3" t="s">
        <v>47</v>
      </c>
      <c r="G3" s="3" t="s">
        <v>25</v>
      </c>
      <c r="H3" s="5">
        <v>45203</v>
      </c>
      <c r="I3" s="12">
        <f t="shared" ref="I3:I15" si="1">A3-J3</f>
        <v>45203.016966458337</v>
      </c>
      <c r="J3" s="6">
        <v>0.50833333333139308</v>
      </c>
      <c r="K3" s="10"/>
      <c r="L3" s="8" t="s">
        <v>48</v>
      </c>
      <c r="M3" s="7" t="s">
        <v>17</v>
      </c>
      <c r="N3" s="8" t="s">
        <v>49</v>
      </c>
      <c r="O3" s="7" t="s">
        <v>18</v>
      </c>
      <c r="P3" s="7" t="s">
        <v>19</v>
      </c>
      <c r="Q3" s="7" t="s">
        <v>20</v>
      </c>
      <c r="R3" s="9" t="s">
        <v>21</v>
      </c>
      <c r="S3" s="7" t="s">
        <v>22</v>
      </c>
      <c r="T3" s="8" t="s">
        <v>19</v>
      </c>
      <c r="U3" s="7" t="s">
        <v>27</v>
      </c>
      <c r="V3" s="7" t="s">
        <v>23</v>
      </c>
      <c r="W3" s="8" t="s">
        <v>50</v>
      </c>
      <c r="X3" s="7" t="s">
        <v>51</v>
      </c>
      <c r="Y3" s="7" t="s">
        <v>24</v>
      </c>
      <c r="AA3" s="14">
        <f t="shared" ref="AA3:AA15" ca="1" si="2">COUNTCOLOR(K3:Y3,AA3)</f>
        <v>10</v>
      </c>
    </row>
    <row r="4" spans="1:28" x14ac:dyDescent="0.2">
      <c r="A4" s="2">
        <v>45203.525346631941</v>
      </c>
      <c r="B4" s="3" t="s">
        <v>52</v>
      </c>
      <c r="C4" s="4">
        <v>8</v>
      </c>
      <c r="D4" s="4">
        <v>10</v>
      </c>
      <c r="E4" s="21">
        <f t="shared" si="0"/>
        <v>4</v>
      </c>
      <c r="F4" s="3" t="s">
        <v>53</v>
      </c>
      <c r="G4" s="3" t="s">
        <v>54</v>
      </c>
      <c r="H4" s="5">
        <v>45203</v>
      </c>
      <c r="I4" s="12">
        <f t="shared" si="1"/>
        <v>45203.024652187494</v>
      </c>
      <c r="J4" s="6">
        <v>0.50069444444670808</v>
      </c>
      <c r="K4" s="8" t="s">
        <v>55</v>
      </c>
      <c r="L4" s="8" t="s">
        <v>56</v>
      </c>
      <c r="M4" s="7" t="s">
        <v>17</v>
      </c>
      <c r="N4" s="8" t="s">
        <v>57</v>
      </c>
      <c r="O4" s="7" t="s">
        <v>18</v>
      </c>
      <c r="P4" s="7" t="s">
        <v>19</v>
      </c>
      <c r="Q4" s="7" t="s">
        <v>20</v>
      </c>
      <c r="R4" s="9" t="s">
        <v>21</v>
      </c>
      <c r="S4" s="7" t="s">
        <v>58</v>
      </c>
      <c r="T4" s="8" t="s">
        <v>19</v>
      </c>
      <c r="U4" s="7" t="s">
        <v>27</v>
      </c>
      <c r="V4" s="7" t="s">
        <v>59</v>
      </c>
      <c r="W4" s="8" t="s">
        <v>60</v>
      </c>
      <c r="X4" s="7" t="s">
        <v>51</v>
      </c>
      <c r="Y4" s="7" t="s">
        <v>24</v>
      </c>
      <c r="AA4" s="14">
        <f t="shared" ca="1" si="2"/>
        <v>10</v>
      </c>
    </row>
    <row r="5" spans="1:28" x14ac:dyDescent="0.2">
      <c r="A5" s="2">
        <v>45203.526846122681</v>
      </c>
      <c r="B5" s="3" t="s">
        <v>61</v>
      </c>
      <c r="C5" s="4">
        <v>4</v>
      </c>
      <c r="D5" s="4">
        <v>6</v>
      </c>
      <c r="E5" s="19">
        <f t="shared" si="0"/>
        <v>2</v>
      </c>
      <c r="F5" s="3" t="s">
        <v>62</v>
      </c>
      <c r="G5" s="3" t="s">
        <v>25</v>
      </c>
      <c r="H5" s="5">
        <v>45203</v>
      </c>
      <c r="I5" s="12">
        <f t="shared" si="1"/>
        <v>45203.026846122681</v>
      </c>
      <c r="J5" s="6">
        <v>0.5</v>
      </c>
      <c r="K5" s="8" t="s">
        <v>31</v>
      </c>
      <c r="L5" s="7" t="s">
        <v>63</v>
      </c>
      <c r="M5" s="7" t="s">
        <v>64</v>
      </c>
      <c r="N5" s="8" t="s">
        <v>65</v>
      </c>
      <c r="O5" s="8" t="s">
        <v>23</v>
      </c>
      <c r="P5" s="7" t="s">
        <v>36</v>
      </c>
      <c r="Q5" s="7" t="s">
        <v>35</v>
      </c>
      <c r="R5" s="9" t="s">
        <v>21</v>
      </c>
      <c r="S5" s="10"/>
      <c r="T5" s="10"/>
      <c r="U5" s="7" t="s">
        <v>27</v>
      </c>
      <c r="V5" s="8" t="s">
        <v>66</v>
      </c>
      <c r="W5" s="8" t="s">
        <v>67</v>
      </c>
      <c r="X5" s="10"/>
      <c r="Y5" s="8" t="s">
        <v>28</v>
      </c>
      <c r="AA5" s="14">
        <f t="shared" ca="1" si="2"/>
        <v>6</v>
      </c>
    </row>
    <row r="6" spans="1:28" x14ac:dyDescent="0.2">
      <c r="A6" s="2">
        <v>45203.530245914357</v>
      </c>
      <c r="B6" s="3" t="s">
        <v>68</v>
      </c>
      <c r="C6" s="4">
        <v>9</v>
      </c>
      <c r="D6" s="4">
        <v>11</v>
      </c>
      <c r="E6" s="21">
        <f t="shared" si="0"/>
        <v>4</v>
      </c>
      <c r="F6" s="3" t="s">
        <v>69</v>
      </c>
      <c r="G6" s="3" t="s">
        <v>70</v>
      </c>
      <c r="H6" s="5">
        <v>45203</v>
      </c>
      <c r="I6" s="12">
        <f t="shared" si="1"/>
        <v>45203.03232924769</v>
      </c>
      <c r="J6" s="6">
        <v>0.49791666666715173</v>
      </c>
      <c r="K6" s="7" t="s">
        <v>15</v>
      </c>
      <c r="L6" s="8" t="s">
        <v>19</v>
      </c>
      <c r="M6" s="7" t="s">
        <v>71</v>
      </c>
      <c r="N6" s="8" t="s">
        <v>72</v>
      </c>
      <c r="O6" s="7" t="s">
        <v>18</v>
      </c>
      <c r="P6" s="7" t="s">
        <v>19</v>
      </c>
      <c r="Q6" s="7" t="s">
        <v>20</v>
      </c>
      <c r="R6" s="9" t="s">
        <v>21</v>
      </c>
      <c r="S6" s="7" t="s">
        <v>22</v>
      </c>
      <c r="T6" s="7" t="s">
        <v>18</v>
      </c>
      <c r="U6" s="7" t="s">
        <v>27</v>
      </c>
      <c r="V6" s="7" t="s">
        <v>23</v>
      </c>
      <c r="W6" s="8" t="s">
        <v>73</v>
      </c>
      <c r="X6" s="10"/>
      <c r="Y6" s="7" t="s">
        <v>74</v>
      </c>
      <c r="AA6" s="14">
        <f t="shared" ca="1" si="2"/>
        <v>11</v>
      </c>
    </row>
    <row r="7" spans="1:28" x14ac:dyDescent="0.2">
      <c r="A7" s="2">
        <v>45203.530246527778</v>
      </c>
      <c r="B7" s="3" t="s">
        <v>75</v>
      </c>
      <c r="C7" s="4">
        <v>9</v>
      </c>
      <c r="D7" s="4">
        <v>12</v>
      </c>
      <c r="E7" s="18">
        <f t="shared" si="0"/>
        <v>5</v>
      </c>
      <c r="F7" s="3" t="s">
        <v>76</v>
      </c>
      <c r="G7" s="3" t="s">
        <v>25</v>
      </c>
      <c r="H7" s="5">
        <v>45203</v>
      </c>
      <c r="I7" s="12">
        <f t="shared" si="1"/>
        <v>45203.030246527778</v>
      </c>
      <c r="J7" s="6">
        <v>0.5</v>
      </c>
      <c r="K7" s="7" t="s">
        <v>77</v>
      </c>
      <c r="L7" s="8" t="s">
        <v>32</v>
      </c>
      <c r="M7" s="7" t="s">
        <v>71</v>
      </c>
      <c r="N7" s="8" t="s">
        <v>78</v>
      </c>
      <c r="O7" s="7" t="s">
        <v>18</v>
      </c>
      <c r="P7" s="7" t="s">
        <v>32</v>
      </c>
      <c r="Q7" s="7" t="s">
        <v>20</v>
      </c>
      <c r="R7" s="9" t="s">
        <v>21</v>
      </c>
      <c r="S7" s="7" t="s">
        <v>79</v>
      </c>
      <c r="T7" s="7" t="s">
        <v>80</v>
      </c>
      <c r="U7" s="7" t="s">
        <v>27</v>
      </c>
      <c r="V7" s="7" t="s">
        <v>23</v>
      </c>
      <c r="W7" s="8" t="s">
        <v>81</v>
      </c>
      <c r="X7" s="7" t="s">
        <v>82</v>
      </c>
      <c r="Y7" s="7" t="s">
        <v>24</v>
      </c>
      <c r="AA7" s="14">
        <f t="shared" ca="1" si="2"/>
        <v>12</v>
      </c>
    </row>
    <row r="8" spans="1:28" x14ac:dyDescent="0.2">
      <c r="A8" s="2">
        <v>45203.530827037037</v>
      </c>
      <c r="B8" s="3" t="s">
        <v>83</v>
      </c>
      <c r="C8" s="4">
        <v>5</v>
      </c>
      <c r="D8" s="4">
        <v>8</v>
      </c>
      <c r="E8" s="20">
        <f t="shared" si="0"/>
        <v>3</v>
      </c>
      <c r="F8" s="3" t="s">
        <v>84</v>
      </c>
      <c r="G8" s="3" t="s">
        <v>85</v>
      </c>
      <c r="H8" s="5">
        <v>45203</v>
      </c>
      <c r="I8" s="12">
        <f t="shared" si="1"/>
        <v>45203.030827037037</v>
      </c>
      <c r="J8" s="6">
        <v>0.5</v>
      </c>
      <c r="K8" s="8" t="s">
        <v>29</v>
      </c>
      <c r="L8" s="7" t="s">
        <v>86</v>
      </c>
      <c r="M8" s="7" t="s">
        <v>87</v>
      </c>
      <c r="N8" s="8" t="s">
        <v>88</v>
      </c>
      <c r="O8" s="7" t="s">
        <v>18</v>
      </c>
      <c r="P8" s="7" t="s">
        <v>19</v>
      </c>
      <c r="Q8" s="7" t="s">
        <v>20</v>
      </c>
      <c r="R8" s="9" t="s">
        <v>21</v>
      </c>
      <c r="S8" s="7" t="s">
        <v>79</v>
      </c>
      <c r="T8" s="8" t="s">
        <v>19</v>
      </c>
      <c r="U8" s="8" t="s">
        <v>23</v>
      </c>
      <c r="V8" s="8" t="s">
        <v>38</v>
      </c>
      <c r="W8" s="10"/>
      <c r="X8" s="11" t="s">
        <v>89</v>
      </c>
      <c r="Y8" s="7" t="s">
        <v>24</v>
      </c>
      <c r="AA8" s="14">
        <f t="shared" ca="1" si="2"/>
        <v>8</v>
      </c>
    </row>
    <row r="9" spans="1:28" x14ac:dyDescent="0.2">
      <c r="A9" s="2">
        <v>45203.530984166668</v>
      </c>
      <c r="B9" s="3" t="s">
        <v>90</v>
      </c>
      <c r="C9" s="4">
        <v>9</v>
      </c>
      <c r="D9" s="4">
        <v>9</v>
      </c>
      <c r="E9" s="20">
        <f t="shared" si="0"/>
        <v>3</v>
      </c>
      <c r="F9" s="3" t="s">
        <v>91</v>
      </c>
      <c r="G9" s="3" t="s">
        <v>25</v>
      </c>
      <c r="H9" s="5">
        <v>45203</v>
      </c>
      <c r="I9" s="12">
        <f t="shared" si="1"/>
        <v>45203.030984166668</v>
      </c>
      <c r="J9" s="6">
        <v>0.5</v>
      </c>
      <c r="K9" s="8" t="s">
        <v>29</v>
      </c>
      <c r="L9" s="8" t="s">
        <v>92</v>
      </c>
      <c r="M9" s="7" t="s">
        <v>17</v>
      </c>
      <c r="N9" s="8" t="s">
        <v>93</v>
      </c>
      <c r="O9" s="7" t="s">
        <v>18</v>
      </c>
      <c r="P9" s="7" t="s">
        <v>19</v>
      </c>
      <c r="Q9" s="7" t="s">
        <v>20</v>
      </c>
      <c r="R9" s="9" t="s">
        <v>21</v>
      </c>
      <c r="S9" s="7" t="s">
        <v>22</v>
      </c>
      <c r="T9" s="8" t="s">
        <v>23</v>
      </c>
      <c r="U9" s="7" t="s">
        <v>27</v>
      </c>
      <c r="V9" s="7" t="s">
        <v>23</v>
      </c>
      <c r="W9" s="8" t="s">
        <v>94</v>
      </c>
      <c r="X9" s="8" t="s">
        <v>95</v>
      </c>
      <c r="Y9" s="7" t="s">
        <v>24</v>
      </c>
      <c r="AA9" s="14">
        <f t="shared" ca="1" si="2"/>
        <v>9</v>
      </c>
    </row>
    <row r="10" spans="1:28" x14ac:dyDescent="0.2">
      <c r="A10" s="2">
        <v>45203.53135399305</v>
      </c>
      <c r="B10" s="3" t="s">
        <v>96</v>
      </c>
      <c r="C10" s="4">
        <v>10</v>
      </c>
      <c r="D10" s="4">
        <v>11</v>
      </c>
      <c r="E10" s="21">
        <f t="shared" si="0"/>
        <v>4</v>
      </c>
      <c r="F10" s="3" t="s">
        <v>97</v>
      </c>
      <c r="G10" s="3" t="s">
        <v>25</v>
      </c>
      <c r="H10" s="5">
        <v>45203</v>
      </c>
      <c r="I10" s="12">
        <f t="shared" si="1"/>
        <v>45203.03135399305</v>
      </c>
      <c r="J10" s="6">
        <v>0.5</v>
      </c>
      <c r="K10" s="7" t="s">
        <v>33</v>
      </c>
      <c r="L10" s="7" t="s">
        <v>41</v>
      </c>
      <c r="M10" s="7" t="s">
        <v>17</v>
      </c>
      <c r="N10" s="8" t="s">
        <v>98</v>
      </c>
      <c r="O10" s="7" t="s">
        <v>18</v>
      </c>
      <c r="P10" s="7" t="s">
        <v>19</v>
      </c>
      <c r="Q10" s="7" t="s">
        <v>20</v>
      </c>
      <c r="R10" s="9" t="s">
        <v>21</v>
      </c>
      <c r="S10" s="7" t="s">
        <v>22</v>
      </c>
      <c r="T10" s="10"/>
      <c r="U10" s="7" t="s">
        <v>27</v>
      </c>
      <c r="V10" s="7" t="s">
        <v>23</v>
      </c>
      <c r="W10" s="10"/>
      <c r="X10" s="8" t="s">
        <v>99</v>
      </c>
      <c r="Y10" s="7" t="s">
        <v>24</v>
      </c>
      <c r="AA10" s="14">
        <f t="shared" ca="1" si="2"/>
        <v>11</v>
      </c>
    </row>
    <row r="11" spans="1:28" x14ac:dyDescent="0.2">
      <c r="A11" s="2">
        <v>45203.532073310183</v>
      </c>
      <c r="B11" s="3" t="s">
        <v>100</v>
      </c>
      <c r="C11" s="4">
        <v>10</v>
      </c>
      <c r="D11" s="4">
        <v>10</v>
      </c>
      <c r="E11" s="21">
        <f t="shared" si="0"/>
        <v>4</v>
      </c>
      <c r="F11" s="3" t="s">
        <v>101</v>
      </c>
      <c r="G11" s="3" t="s">
        <v>25</v>
      </c>
      <c r="H11" s="5">
        <v>45203</v>
      </c>
      <c r="I11" s="13">
        <f t="shared" si="1"/>
        <v>45203.034851087963</v>
      </c>
      <c r="J11" s="6">
        <v>0.49722222222044365</v>
      </c>
      <c r="K11" s="7" t="s">
        <v>15</v>
      </c>
      <c r="L11" s="8" t="s">
        <v>19</v>
      </c>
      <c r="M11" s="7" t="s">
        <v>102</v>
      </c>
      <c r="N11" s="8" t="s">
        <v>103</v>
      </c>
      <c r="O11" s="7" t="s">
        <v>18</v>
      </c>
      <c r="P11" s="7" t="s">
        <v>19</v>
      </c>
      <c r="Q11" s="7" t="s">
        <v>20</v>
      </c>
      <c r="R11" s="9" t="s">
        <v>21</v>
      </c>
      <c r="S11" s="7" t="s">
        <v>22</v>
      </c>
      <c r="T11" s="7" t="s">
        <v>18</v>
      </c>
      <c r="U11" s="7" t="s">
        <v>27</v>
      </c>
      <c r="V11" s="7" t="s">
        <v>23</v>
      </c>
      <c r="W11" s="8" t="s">
        <v>104</v>
      </c>
      <c r="X11" s="10"/>
      <c r="Y11" s="7" t="s">
        <v>24</v>
      </c>
      <c r="AA11" s="14">
        <f t="shared" ca="1" si="2"/>
        <v>11</v>
      </c>
      <c r="AB11" s="16" t="s">
        <v>144</v>
      </c>
    </row>
    <row r="12" spans="1:28" x14ac:dyDescent="0.2">
      <c r="A12" s="2">
        <v>45203.532201307869</v>
      </c>
      <c r="B12" s="3" t="s">
        <v>105</v>
      </c>
      <c r="C12" s="4">
        <v>8</v>
      </c>
      <c r="D12" s="4">
        <v>9</v>
      </c>
      <c r="E12" s="20">
        <f t="shared" si="0"/>
        <v>3</v>
      </c>
      <c r="F12" s="3" t="s">
        <v>106</v>
      </c>
      <c r="G12" s="3" t="s">
        <v>107</v>
      </c>
      <c r="H12" s="5">
        <v>45203</v>
      </c>
      <c r="I12" s="13">
        <f t="shared" si="1"/>
        <v>45203.035673530088</v>
      </c>
      <c r="J12" s="6">
        <v>0.49652777778101154</v>
      </c>
      <c r="K12" s="7" t="s">
        <v>108</v>
      </c>
      <c r="L12" s="8" t="s">
        <v>32</v>
      </c>
      <c r="M12" s="7" t="s">
        <v>109</v>
      </c>
      <c r="N12" s="8" t="s">
        <v>110</v>
      </c>
      <c r="O12" s="7" t="s">
        <v>80</v>
      </c>
      <c r="P12" s="7" t="s">
        <v>37</v>
      </c>
      <c r="Q12" s="7" t="s">
        <v>34</v>
      </c>
      <c r="R12" s="9" t="s">
        <v>21</v>
      </c>
      <c r="S12" s="7" t="s">
        <v>111</v>
      </c>
      <c r="T12" s="8" t="s">
        <v>37</v>
      </c>
      <c r="U12" s="7" t="s">
        <v>112</v>
      </c>
      <c r="V12" s="7" t="s">
        <v>23</v>
      </c>
      <c r="W12" s="8" t="s">
        <v>113</v>
      </c>
      <c r="X12" s="10"/>
      <c r="Y12" s="7" t="s">
        <v>24</v>
      </c>
      <c r="AA12" s="14">
        <f t="shared" ca="1" si="2"/>
        <v>10</v>
      </c>
      <c r="AB12" s="16" t="s">
        <v>144</v>
      </c>
    </row>
    <row r="13" spans="1:28" x14ac:dyDescent="0.2">
      <c r="A13" s="2">
        <v>45203.532332499999</v>
      </c>
      <c r="B13" s="3" t="s">
        <v>114</v>
      </c>
      <c r="C13" s="4">
        <v>8</v>
      </c>
      <c r="D13" s="4">
        <v>9</v>
      </c>
      <c r="E13" s="20">
        <f t="shared" si="0"/>
        <v>3</v>
      </c>
      <c r="F13" s="3" t="s">
        <v>115</v>
      </c>
      <c r="G13" s="3" t="s">
        <v>25</v>
      </c>
      <c r="H13" s="5">
        <v>45203</v>
      </c>
      <c r="I13" s="12">
        <f t="shared" si="1"/>
        <v>45203.024693611114</v>
      </c>
      <c r="J13" s="6">
        <v>0.507638888884685</v>
      </c>
      <c r="K13" s="8" t="s">
        <v>116</v>
      </c>
      <c r="L13" s="7" t="s">
        <v>117</v>
      </c>
      <c r="M13" s="7" t="s">
        <v>118</v>
      </c>
      <c r="N13" s="8" t="s">
        <v>119</v>
      </c>
      <c r="O13" s="7" t="s">
        <v>18</v>
      </c>
      <c r="P13" s="7" t="s">
        <v>19</v>
      </c>
      <c r="Q13" s="7" t="s">
        <v>20</v>
      </c>
      <c r="R13" s="9" t="s">
        <v>21</v>
      </c>
      <c r="S13" s="8" t="s">
        <v>120</v>
      </c>
      <c r="T13" s="8" t="s">
        <v>19</v>
      </c>
      <c r="U13" s="7" t="s">
        <v>38</v>
      </c>
      <c r="V13" s="7" t="s">
        <v>23</v>
      </c>
      <c r="W13" s="8" t="s">
        <v>121</v>
      </c>
      <c r="X13" s="8" t="s">
        <v>122</v>
      </c>
      <c r="Y13" s="7" t="s">
        <v>24</v>
      </c>
      <c r="AA13" s="14">
        <f t="shared" ca="1" si="2"/>
        <v>9</v>
      </c>
    </row>
    <row r="14" spans="1:28" x14ac:dyDescent="0.2">
      <c r="A14" s="2">
        <v>45203.532953530092</v>
      </c>
      <c r="B14" s="3" t="s">
        <v>123</v>
      </c>
      <c r="C14" s="4">
        <v>7</v>
      </c>
      <c r="D14" s="4">
        <v>12</v>
      </c>
      <c r="E14" s="18">
        <f t="shared" si="0"/>
        <v>5</v>
      </c>
      <c r="F14" s="3" t="s">
        <v>124</v>
      </c>
      <c r="G14" s="3" t="s">
        <v>25</v>
      </c>
      <c r="H14" s="5">
        <v>45203</v>
      </c>
      <c r="I14" s="12">
        <f t="shared" si="1"/>
        <v>45203.032953530092</v>
      </c>
      <c r="J14" s="6">
        <v>0.5</v>
      </c>
      <c r="K14" s="7" t="s">
        <v>125</v>
      </c>
      <c r="L14" s="7" t="s">
        <v>126</v>
      </c>
      <c r="M14" s="7" t="s">
        <v>127</v>
      </c>
      <c r="N14" s="8" t="s">
        <v>128</v>
      </c>
      <c r="O14" s="7" t="s">
        <v>18</v>
      </c>
      <c r="P14" s="7" t="s">
        <v>19</v>
      </c>
      <c r="Q14" s="7" t="s">
        <v>20</v>
      </c>
      <c r="R14" s="9" t="s">
        <v>21</v>
      </c>
      <c r="S14" s="7" t="s">
        <v>79</v>
      </c>
      <c r="T14" s="8" t="s">
        <v>27</v>
      </c>
      <c r="U14" s="7" t="s">
        <v>27</v>
      </c>
      <c r="V14" s="7" t="s">
        <v>23</v>
      </c>
      <c r="W14" s="8" t="s">
        <v>94</v>
      </c>
      <c r="X14" s="9" t="s">
        <v>129</v>
      </c>
      <c r="Y14" s="7" t="s">
        <v>24</v>
      </c>
      <c r="AA14" s="14">
        <f t="shared" ca="1" si="2"/>
        <v>12</v>
      </c>
    </row>
    <row r="15" spans="1:28" x14ac:dyDescent="0.2">
      <c r="A15" s="2">
        <v>45203.55438775463</v>
      </c>
      <c r="B15" s="3" t="s">
        <v>130</v>
      </c>
      <c r="C15" s="4">
        <v>11</v>
      </c>
      <c r="D15" s="4">
        <v>11</v>
      </c>
      <c r="E15" s="21">
        <f t="shared" si="0"/>
        <v>4</v>
      </c>
      <c r="F15" s="3" t="s">
        <v>131</v>
      </c>
      <c r="G15" s="3" t="s">
        <v>25</v>
      </c>
      <c r="H15" s="5">
        <v>45203</v>
      </c>
      <c r="I15" s="13">
        <f t="shared" si="1"/>
        <v>45203.05438775463</v>
      </c>
      <c r="J15" s="6">
        <v>0.5</v>
      </c>
      <c r="K15" s="8" t="s">
        <v>132</v>
      </c>
      <c r="L15" s="7" t="s">
        <v>16</v>
      </c>
      <c r="M15" s="7" t="s">
        <v>17</v>
      </c>
      <c r="N15" s="8" t="s">
        <v>133</v>
      </c>
      <c r="O15" s="7" t="s">
        <v>18</v>
      </c>
      <c r="P15" s="7" t="s">
        <v>19</v>
      </c>
      <c r="Q15" s="7" t="s">
        <v>20</v>
      </c>
      <c r="R15" s="9" t="s">
        <v>21</v>
      </c>
      <c r="S15" s="7" t="s">
        <v>22</v>
      </c>
      <c r="T15" s="8" t="s">
        <v>20</v>
      </c>
      <c r="U15" s="7" t="s">
        <v>27</v>
      </c>
      <c r="V15" s="7" t="s">
        <v>23</v>
      </c>
      <c r="W15" s="7" t="s">
        <v>30</v>
      </c>
      <c r="X15" s="7" t="s">
        <v>134</v>
      </c>
      <c r="Y15" s="7" t="s">
        <v>24</v>
      </c>
      <c r="AA15" s="14">
        <f t="shared" ca="1" si="2"/>
        <v>12</v>
      </c>
      <c r="AB15" s="16" t="s">
        <v>144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Ответы на форму (1)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Сафронов А И</dc:creator>
  <cp:lastModifiedBy>Сафронов А И</cp:lastModifiedBy>
  <dcterms:created xsi:type="dcterms:W3CDTF">2023-10-05T13:33:16Z</dcterms:created>
  <dcterms:modified xsi:type="dcterms:W3CDTF">2023-10-05T13:48:08Z</dcterms:modified>
</cp:coreProperties>
</file>